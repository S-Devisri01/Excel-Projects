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dashboard\"/>
    </mc:Choice>
  </mc:AlternateContent>
  <xr:revisionPtr revIDLastSave="0" documentId="8_{DB51C6A1-816E-4970-A573-42467E081320}" xr6:coauthVersionLast="47" xr6:coauthVersionMax="47" xr10:uidLastSave="{00000000-0000-0000-0000-000000000000}"/>
  <bookViews>
    <workbookView xWindow="-108" yWindow="-108" windowWidth="23256" windowHeight="12456" activeTab="2" xr2:uid="{C7B880C8-85DA-4EBC-9D50-245DA2181802}"/>
  </bookViews>
  <sheets>
    <sheet name="Task Sheet" sheetId="2" r:id="rId1"/>
    <sheet name="Sheet1" sheetId="3" r:id="rId2"/>
    <sheet name="retail_sales_dataset" sheetId="1" r:id="rId3"/>
  </sheets>
  <definedNames>
    <definedName name="_xlcn.WorksheetConnection_retail_sales_dataset_tasksheet.xlsxTable11" hidden="1">Table1[]</definedName>
  </definedNames>
  <calcPr calcId="191029"/>
  <pivotCaches>
    <pivotCache cacheId="0" r:id="rId4"/>
    <pivotCache cacheId="1" r:id="rId5"/>
    <pivotCache cacheId="2" r:id="rId6"/>
    <pivotCache cacheId="3" r:id="rId7"/>
    <pivotCache cacheId="4" r:id="rId8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_task she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G2" i="1" a="1"/>
  <c r="G2" i="1" s="1"/>
  <c r="G3" i="1" a="1"/>
  <c r="G3" i="1" s="1"/>
  <c r="G4" i="1" a="1"/>
  <c r="G4" i="1" s="1"/>
  <c r="G5" i="1" a="1"/>
  <c r="G5" i="1" s="1"/>
  <c r="G6" i="1" a="1"/>
  <c r="G6" i="1" s="1"/>
  <c r="G7" i="1" a="1"/>
  <c r="G7" i="1" s="1"/>
  <c r="G8" i="1" a="1"/>
  <c r="G8" i="1" s="1"/>
  <c r="G9" i="1" a="1"/>
  <c r="G9" i="1" s="1"/>
  <c r="G10" i="1" a="1"/>
  <c r="G10" i="1" s="1"/>
  <c r="G11" i="1" a="1"/>
  <c r="G11" i="1" s="1"/>
  <c r="G12" i="1" a="1"/>
  <c r="G12" i="1" s="1"/>
  <c r="G13" i="1" a="1"/>
  <c r="G13" i="1" s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5" i="1" a="1"/>
  <c r="G25" i="1" s="1"/>
  <c r="G26" i="1" a="1"/>
  <c r="G26" i="1" s="1"/>
  <c r="G27" i="1" a="1"/>
  <c r="G27" i="1" s="1"/>
  <c r="G28" i="1" a="1"/>
  <c r="G28" i="1" s="1"/>
  <c r="G29" i="1" a="1"/>
  <c r="G29" i="1" s="1"/>
  <c r="G30" i="1" a="1"/>
  <c r="G30" i="1" s="1"/>
  <c r="G31" i="1" a="1"/>
  <c r="G31" i="1" s="1"/>
  <c r="G32" i="1" a="1"/>
  <c r="G32" i="1" s="1"/>
  <c r="G33" i="1" a="1"/>
  <c r="G33" i="1" s="1"/>
  <c r="G34" i="1" a="1"/>
  <c r="G34" i="1" s="1"/>
  <c r="G35" i="1" a="1"/>
  <c r="G35" i="1" s="1"/>
  <c r="G36" i="1" a="1"/>
  <c r="G36" i="1" s="1"/>
  <c r="G37" i="1" a="1"/>
  <c r="G37" i="1" s="1"/>
  <c r="G38" i="1" a="1"/>
  <c r="G38" i="1" s="1"/>
  <c r="G39" i="1" a="1"/>
  <c r="G39" i="1" s="1"/>
  <c r="G40" i="1" a="1"/>
  <c r="G40" i="1" s="1"/>
  <c r="G41" i="1" a="1"/>
  <c r="G41" i="1" s="1"/>
  <c r="G42" i="1" a="1"/>
  <c r="G42" i="1" s="1"/>
  <c r="G43" i="1" a="1"/>
  <c r="G43" i="1" s="1"/>
  <c r="G44" i="1" a="1"/>
  <c r="G44" i="1" s="1"/>
  <c r="G45" i="1" a="1"/>
  <c r="G45" i="1" s="1"/>
  <c r="G46" i="1" a="1"/>
  <c r="G46" i="1" s="1"/>
  <c r="G47" i="1" a="1"/>
  <c r="G47" i="1" s="1"/>
  <c r="G48" i="1" a="1"/>
  <c r="G48" i="1" s="1"/>
  <c r="G49" i="1" a="1"/>
  <c r="G49" i="1" s="1"/>
  <c r="G50" i="1" a="1"/>
  <c r="G50" i="1" s="1"/>
  <c r="G51" i="1" a="1"/>
  <c r="G51" i="1" s="1"/>
  <c r="G52" i="1" a="1"/>
  <c r="G52" i="1" s="1"/>
  <c r="G53" i="1" a="1"/>
  <c r="G53" i="1" s="1"/>
  <c r="G54" i="1" a="1"/>
  <c r="G54" i="1" s="1"/>
  <c r="G55" i="1" a="1"/>
  <c r="G55" i="1" s="1"/>
  <c r="G56" i="1" a="1"/>
  <c r="G56" i="1" s="1"/>
  <c r="G57" i="1" a="1"/>
  <c r="G57" i="1" s="1"/>
  <c r="G58" i="1" a="1"/>
  <c r="G58" i="1"/>
  <c r="G59" i="1" a="1"/>
  <c r="G59" i="1" s="1"/>
  <c r="G60" i="1" a="1"/>
  <c r="G60" i="1" s="1"/>
  <c r="G61" i="1" a="1"/>
  <c r="G61" i="1" s="1"/>
  <c r="G62" i="1" a="1"/>
  <c r="G62" i="1" s="1"/>
  <c r="G63" i="1" a="1"/>
  <c r="G63" i="1" s="1"/>
  <c r="G64" i="1" a="1"/>
  <c r="G64" i="1" s="1"/>
  <c r="G65" i="1" a="1"/>
  <c r="G65" i="1" s="1"/>
  <c r="G66" i="1" a="1"/>
  <c r="G66" i="1" s="1"/>
  <c r="G67" i="1" a="1"/>
  <c r="G67" i="1" s="1"/>
  <c r="G68" i="1" a="1"/>
  <c r="G68" i="1" s="1"/>
  <c r="G69" i="1" a="1"/>
  <c r="G69" i="1" s="1"/>
  <c r="G70" i="1" a="1"/>
  <c r="G70" i="1" s="1"/>
  <c r="G71" i="1" a="1"/>
  <c r="G71" i="1" s="1"/>
  <c r="G72" i="1" a="1"/>
  <c r="G72" i="1" s="1"/>
  <c r="G73" i="1" a="1"/>
  <c r="G73" i="1" s="1"/>
  <c r="G74" i="1" a="1"/>
  <c r="G74" i="1" s="1"/>
  <c r="G75" i="1" a="1"/>
  <c r="G75" i="1" s="1"/>
  <c r="G76" i="1" a="1"/>
  <c r="G76" i="1" s="1"/>
  <c r="G77" i="1" a="1"/>
  <c r="G77" i="1" s="1"/>
  <c r="G78" i="1" a="1"/>
  <c r="G78" i="1" s="1"/>
  <c r="G79" i="1" a="1"/>
  <c r="G79" i="1" s="1"/>
  <c r="G80" i="1" a="1"/>
  <c r="G80" i="1" s="1"/>
  <c r="G81" i="1" a="1"/>
  <c r="G81" i="1" s="1"/>
  <c r="G82" i="1" a="1"/>
  <c r="G82" i="1" s="1"/>
  <c r="G83" i="1" a="1"/>
  <c r="G83" i="1" s="1"/>
  <c r="G84" i="1" a="1"/>
  <c r="G84" i="1" s="1"/>
  <c r="G85" i="1" a="1"/>
  <c r="G85" i="1" s="1"/>
  <c r="G86" i="1" a="1"/>
  <c r="G86" i="1" s="1"/>
  <c r="G87" i="1" a="1"/>
  <c r="G87" i="1" s="1"/>
  <c r="G88" i="1" a="1"/>
  <c r="G88" i="1" s="1"/>
  <c r="G89" i="1" a="1"/>
  <c r="G89" i="1" s="1"/>
  <c r="G90" i="1" a="1"/>
  <c r="G90" i="1" s="1"/>
  <c r="G91" i="1" a="1"/>
  <c r="G91" i="1" s="1"/>
  <c r="G92" i="1" a="1"/>
  <c r="G92" i="1" s="1"/>
  <c r="G93" i="1" a="1"/>
  <c r="G93" i="1" s="1"/>
  <c r="G94" i="1" a="1"/>
  <c r="G94" i="1"/>
  <c r="G95" i="1" a="1"/>
  <c r="G95" i="1" s="1"/>
  <c r="G96" i="1" a="1"/>
  <c r="G96" i="1" s="1"/>
  <c r="G97" i="1" a="1"/>
  <c r="G97" i="1" s="1"/>
  <c r="G98" i="1" a="1"/>
  <c r="G98" i="1" s="1"/>
  <c r="G99" i="1" a="1"/>
  <c r="G99" i="1" s="1"/>
  <c r="G100" i="1" a="1"/>
  <c r="G100" i="1" s="1"/>
  <c r="G101" i="1" a="1"/>
  <c r="G101" i="1" s="1"/>
  <c r="G102" i="1" a="1"/>
  <c r="G102" i="1" s="1"/>
  <c r="G103" i="1" a="1"/>
  <c r="G103" i="1" s="1"/>
  <c r="G104" i="1" a="1"/>
  <c r="G104" i="1" s="1"/>
  <c r="G105" i="1" a="1"/>
  <c r="G105" i="1" s="1"/>
  <c r="G106" i="1" a="1"/>
  <c r="G106" i="1" s="1"/>
  <c r="G107" i="1" a="1"/>
  <c r="G107" i="1" s="1"/>
  <c r="G108" i="1" a="1"/>
  <c r="G108" i="1" s="1"/>
  <c r="G109" i="1" a="1"/>
  <c r="G109" i="1" s="1"/>
  <c r="G110" i="1" a="1"/>
  <c r="G110" i="1" s="1"/>
  <c r="G111" i="1" a="1"/>
  <c r="G111" i="1" s="1"/>
  <c r="G112" i="1" a="1"/>
  <c r="G112" i="1" s="1"/>
  <c r="G113" i="1" a="1"/>
  <c r="G113" i="1" s="1"/>
  <c r="G114" i="1" a="1"/>
  <c r="G114" i="1" s="1"/>
  <c r="G115" i="1" a="1"/>
  <c r="G115" i="1" s="1"/>
  <c r="G116" i="1" a="1"/>
  <c r="G116" i="1" s="1"/>
  <c r="G117" i="1" a="1"/>
  <c r="G117" i="1" s="1"/>
  <c r="G118" i="1" a="1"/>
  <c r="G118" i="1" s="1"/>
  <c r="G119" i="1" a="1"/>
  <c r="G119" i="1" s="1"/>
  <c r="G120" i="1" a="1"/>
  <c r="G120" i="1" s="1"/>
  <c r="G121" i="1" a="1"/>
  <c r="G121" i="1" s="1"/>
  <c r="G122" i="1" a="1"/>
  <c r="G122" i="1" s="1"/>
  <c r="G123" i="1" a="1"/>
  <c r="G123" i="1" s="1"/>
  <c r="G124" i="1" a="1"/>
  <c r="G124" i="1" s="1"/>
  <c r="G125" i="1" a="1"/>
  <c r="G125" i="1" s="1"/>
  <c r="G126" i="1" a="1"/>
  <c r="G126" i="1" s="1"/>
  <c r="G127" i="1" a="1"/>
  <c r="G127" i="1" s="1"/>
  <c r="G128" i="1" a="1"/>
  <c r="G128" i="1" s="1"/>
  <c r="G129" i="1" a="1"/>
  <c r="G129" i="1" s="1"/>
  <c r="G130" i="1" a="1"/>
  <c r="G130" i="1" s="1"/>
  <c r="G131" i="1" a="1"/>
  <c r="G131" i="1" s="1"/>
  <c r="G132" i="1" a="1"/>
  <c r="G132" i="1" s="1"/>
  <c r="G133" i="1" a="1"/>
  <c r="G133" i="1" s="1"/>
  <c r="G134" i="1" a="1"/>
  <c r="G134" i="1" s="1"/>
  <c r="G135" i="1" a="1"/>
  <c r="G135" i="1" s="1"/>
  <c r="G136" i="1" a="1"/>
  <c r="G136" i="1" s="1"/>
  <c r="G137" i="1" a="1"/>
  <c r="G137" i="1" s="1"/>
  <c r="G138" i="1" a="1"/>
  <c r="G138" i="1" s="1"/>
  <c r="G139" i="1" a="1"/>
  <c r="G139" i="1" s="1"/>
  <c r="G140" i="1" a="1"/>
  <c r="G140" i="1" s="1"/>
  <c r="G141" i="1" a="1"/>
  <c r="G141" i="1" s="1"/>
  <c r="G142" i="1" a="1"/>
  <c r="G142" i="1" s="1"/>
  <c r="G143" i="1" a="1"/>
  <c r="G143" i="1" s="1"/>
  <c r="G144" i="1" a="1"/>
  <c r="G144" i="1" s="1"/>
  <c r="G145" i="1" a="1"/>
  <c r="G145" i="1" s="1"/>
  <c r="G146" i="1" a="1"/>
  <c r="G146" i="1" s="1"/>
  <c r="G147" i="1" a="1"/>
  <c r="G147" i="1" s="1"/>
  <c r="G148" i="1" a="1"/>
  <c r="G148" i="1" s="1"/>
  <c r="G149" i="1" a="1"/>
  <c r="G149" i="1" s="1"/>
  <c r="G150" i="1" a="1"/>
  <c r="G150" i="1" s="1"/>
  <c r="G151" i="1" a="1"/>
  <c r="G151" i="1" s="1"/>
  <c r="G152" i="1" a="1"/>
  <c r="G152" i="1" s="1"/>
  <c r="G153" i="1" a="1"/>
  <c r="G153" i="1" s="1"/>
  <c r="G154" i="1" a="1"/>
  <c r="G154" i="1" s="1"/>
  <c r="G155" i="1" a="1"/>
  <c r="G155" i="1" s="1"/>
  <c r="G156" i="1" a="1"/>
  <c r="G156" i="1" s="1"/>
  <c r="G157" i="1" a="1"/>
  <c r="G157" i="1" s="1"/>
  <c r="G158" i="1" a="1"/>
  <c r="G158" i="1" s="1"/>
  <c r="G159" i="1" a="1"/>
  <c r="G159" i="1" s="1"/>
  <c r="G160" i="1" a="1"/>
  <c r="G160" i="1" s="1"/>
  <c r="G161" i="1" a="1"/>
  <c r="G161" i="1" s="1"/>
  <c r="G162" i="1" a="1"/>
  <c r="G162" i="1" s="1"/>
  <c r="G163" i="1" a="1"/>
  <c r="G163" i="1" s="1"/>
  <c r="G164" i="1" a="1"/>
  <c r="G164" i="1" s="1"/>
  <c r="G165" i="1" a="1"/>
  <c r="G165" i="1" s="1"/>
  <c r="G166" i="1" a="1"/>
  <c r="G166" i="1" s="1"/>
  <c r="G167" i="1" a="1"/>
  <c r="G167" i="1" s="1"/>
  <c r="G168" i="1" a="1"/>
  <c r="G168" i="1" s="1"/>
  <c r="G169" i="1" a="1"/>
  <c r="G169" i="1" s="1"/>
  <c r="G170" i="1" a="1"/>
  <c r="G170" i="1" s="1"/>
  <c r="G171" i="1" a="1"/>
  <c r="G171" i="1" s="1"/>
  <c r="G172" i="1" a="1"/>
  <c r="G172" i="1" s="1"/>
  <c r="G173" i="1" a="1"/>
  <c r="G173" i="1" s="1"/>
  <c r="G174" i="1" a="1"/>
  <c r="G174" i="1" s="1"/>
  <c r="G175" i="1" a="1"/>
  <c r="G175" i="1" s="1"/>
  <c r="G176" i="1" a="1"/>
  <c r="G176" i="1" s="1"/>
  <c r="G177" i="1" a="1"/>
  <c r="G177" i="1" s="1"/>
  <c r="G178" i="1" a="1"/>
  <c r="G178" i="1" s="1"/>
  <c r="G179" i="1" a="1"/>
  <c r="G179" i="1" s="1"/>
  <c r="G180" i="1" a="1"/>
  <c r="G180" i="1" s="1"/>
  <c r="G181" i="1" a="1"/>
  <c r="G181" i="1" s="1"/>
  <c r="G182" i="1" a="1"/>
  <c r="G182" i="1" s="1"/>
  <c r="G183" i="1" a="1"/>
  <c r="G183" i="1" s="1"/>
  <c r="G184" i="1" a="1"/>
  <c r="G184" i="1" s="1"/>
  <c r="G185" i="1" a="1"/>
  <c r="G185" i="1" s="1"/>
  <c r="G186" i="1" a="1"/>
  <c r="G186" i="1" s="1"/>
  <c r="G187" i="1" a="1"/>
  <c r="G187" i="1" s="1"/>
  <c r="G188" i="1" a="1"/>
  <c r="G188" i="1" s="1"/>
  <c r="G189" i="1" a="1"/>
  <c r="G189" i="1" s="1"/>
  <c r="G190" i="1" a="1"/>
  <c r="G190" i="1" s="1"/>
  <c r="G191" i="1" a="1"/>
  <c r="G191" i="1" s="1"/>
  <c r="G192" i="1" a="1"/>
  <c r="G192" i="1" s="1"/>
  <c r="G193" i="1" a="1"/>
  <c r="G193" i="1" s="1"/>
  <c r="G194" i="1" a="1"/>
  <c r="G194" i="1" s="1"/>
  <c r="G195" i="1" a="1"/>
  <c r="G195" i="1" s="1"/>
  <c r="G196" i="1" a="1"/>
  <c r="G196" i="1" s="1"/>
  <c r="G197" i="1" a="1"/>
  <c r="G197" i="1" s="1"/>
  <c r="G198" i="1" a="1"/>
  <c r="G198" i="1" s="1"/>
  <c r="G199" i="1" a="1"/>
  <c r="G199" i="1" s="1"/>
  <c r="G200" i="1" a="1"/>
  <c r="G200" i="1" s="1"/>
  <c r="G201" i="1" a="1"/>
  <c r="G201" i="1" s="1"/>
  <c r="G202" i="1" a="1"/>
  <c r="G202" i="1" s="1"/>
  <c r="G203" i="1" a="1"/>
  <c r="G203" i="1" s="1"/>
  <c r="G204" i="1" a="1"/>
  <c r="G204" i="1" s="1"/>
  <c r="G205" i="1" a="1"/>
  <c r="G205" i="1" s="1"/>
  <c r="G206" i="1" a="1"/>
  <c r="G206" i="1" s="1"/>
  <c r="G207" i="1" a="1"/>
  <c r="G207" i="1" s="1"/>
  <c r="G208" i="1" a="1"/>
  <c r="G208" i="1" s="1"/>
  <c r="G209" i="1" a="1"/>
  <c r="G209" i="1" s="1"/>
  <c r="G210" i="1" a="1"/>
  <c r="G210" i="1" s="1"/>
  <c r="G211" i="1" a="1"/>
  <c r="G211" i="1" s="1"/>
  <c r="G212" i="1" a="1"/>
  <c r="G212" i="1" s="1"/>
  <c r="G213" i="1" a="1"/>
  <c r="G213" i="1" s="1"/>
  <c r="G214" i="1" a="1"/>
  <c r="G214" i="1" s="1"/>
  <c r="G215" i="1" a="1"/>
  <c r="G215" i="1" s="1"/>
  <c r="G216" i="1" a="1"/>
  <c r="G216" i="1" s="1"/>
  <c r="G217" i="1" a="1"/>
  <c r="G217" i="1" s="1"/>
  <c r="G218" i="1" a="1"/>
  <c r="G218" i="1" s="1"/>
  <c r="G219" i="1" a="1"/>
  <c r="G219" i="1" s="1"/>
  <c r="G220" i="1" a="1"/>
  <c r="G220" i="1" s="1"/>
  <c r="G221" i="1" a="1"/>
  <c r="G221" i="1" s="1"/>
  <c r="G222" i="1" a="1"/>
  <c r="G222" i="1" s="1"/>
  <c r="G223" i="1" a="1"/>
  <c r="G223" i="1"/>
  <c r="G224" i="1" a="1"/>
  <c r="G224" i="1" s="1"/>
  <c r="G225" i="1" a="1"/>
  <c r="G225" i="1" s="1"/>
  <c r="G226" i="1" a="1"/>
  <c r="G226" i="1" s="1"/>
  <c r="G227" i="1" a="1"/>
  <c r="G227" i="1" s="1"/>
  <c r="G228" i="1" a="1"/>
  <c r="G228" i="1" s="1"/>
  <c r="G229" i="1" a="1"/>
  <c r="G229" i="1" s="1"/>
  <c r="G230" i="1" a="1"/>
  <c r="G230" i="1" s="1"/>
  <c r="G231" i="1" a="1"/>
  <c r="G231" i="1" s="1"/>
  <c r="G232" i="1" a="1"/>
  <c r="G232" i="1"/>
  <c r="G233" i="1" a="1"/>
  <c r="G233" i="1" s="1"/>
  <c r="G234" i="1" a="1"/>
  <c r="G234" i="1" s="1"/>
  <c r="G235" i="1" a="1"/>
  <c r="G235" i="1" s="1"/>
  <c r="G236" i="1" a="1"/>
  <c r="G236" i="1" s="1"/>
  <c r="G237" i="1" a="1"/>
  <c r="G237" i="1" s="1"/>
  <c r="G238" i="1" a="1"/>
  <c r="G238" i="1" s="1"/>
  <c r="G239" i="1" a="1"/>
  <c r="G239" i="1" s="1"/>
  <c r="G240" i="1" a="1"/>
  <c r="G240" i="1" s="1"/>
  <c r="G241" i="1" a="1"/>
  <c r="G241" i="1" s="1"/>
  <c r="G242" i="1" a="1"/>
  <c r="G242" i="1" s="1"/>
  <c r="G243" i="1" a="1"/>
  <c r="G243" i="1" s="1"/>
  <c r="G244" i="1" a="1"/>
  <c r="G244" i="1" s="1"/>
  <c r="G245" i="1" a="1"/>
  <c r="G245" i="1" s="1"/>
  <c r="G246" i="1" a="1"/>
  <c r="G246" i="1"/>
  <c r="G247" i="1" a="1"/>
  <c r="G247" i="1" s="1"/>
  <c r="G248" i="1" a="1"/>
  <c r="G248" i="1" s="1"/>
  <c r="G249" i="1" a="1"/>
  <c r="G249" i="1" s="1"/>
  <c r="G250" i="1" a="1"/>
  <c r="G250" i="1" s="1"/>
  <c r="G251" i="1" a="1"/>
  <c r="G251" i="1" s="1"/>
  <c r="G252" i="1" a="1"/>
  <c r="G252" i="1" s="1"/>
  <c r="G253" i="1" a="1"/>
  <c r="G253" i="1" s="1"/>
  <c r="G254" i="1" a="1"/>
  <c r="G254" i="1" s="1"/>
  <c r="G255" i="1" a="1"/>
  <c r="G255" i="1" s="1"/>
  <c r="G256" i="1" a="1"/>
  <c r="G256" i="1" s="1"/>
  <c r="G257" i="1" a="1"/>
  <c r="G257" i="1" s="1"/>
  <c r="G258" i="1" a="1"/>
  <c r="G258" i="1" s="1"/>
  <c r="G259" i="1" a="1"/>
  <c r="G259" i="1" s="1"/>
  <c r="G260" i="1" a="1"/>
  <c r="G260" i="1" s="1"/>
  <c r="G261" i="1" a="1"/>
  <c r="G261" i="1" s="1"/>
  <c r="G262" i="1" a="1"/>
  <c r="G262" i="1" s="1"/>
  <c r="G263" i="1" a="1"/>
  <c r="G263" i="1" s="1"/>
  <c r="G264" i="1" a="1"/>
  <c r="G264" i="1" s="1"/>
  <c r="G265" i="1" a="1"/>
  <c r="G265" i="1" s="1"/>
  <c r="G266" i="1" a="1"/>
  <c r="G266" i="1" s="1"/>
  <c r="G267" i="1" a="1"/>
  <c r="G267" i="1" s="1"/>
  <c r="G268" i="1" a="1"/>
  <c r="G268" i="1"/>
  <c r="G269" i="1" a="1"/>
  <c r="G269" i="1" s="1"/>
  <c r="G270" i="1" a="1"/>
  <c r="G270" i="1" s="1"/>
  <c r="G271" i="1" a="1"/>
  <c r="G271" i="1" s="1"/>
  <c r="G272" i="1" a="1"/>
  <c r="G272" i="1" s="1"/>
  <c r="G273" i="1" a="1"/>
  <c r="G273" i="1" s="1"/>
  <c r="G274" i="1" a="1"/>
  <c r="G274" i="1" s="1"/>
  <c r="G275" i="1" a="1"/>
  <c r="G275" i="1" s="1"/>
  <c r="G276" i="1" a="1"/>
  <c r="G276" i="1" s="1"/>
  <c r="G277" i="1" a="1"/>
  <c r="G277" i="1" s="1"/>
  <c r="G278" i="1" a="1"/>
  <c r="G278" i="1" s="1"/>
  <c r="G279" i="1" a="1"/>
  <c r="G279" i="1" s="1"/>
  <c r="G280" i="1" a="1"/>
  <c r="G280" i="1" s="1"/>
  <c r="G281" i="1" a="1"/>
  <c r="G281" i="1" s="1"/>
  <c r="G282" i="1" a="1"/>
  <c r="G282" i="1" s="1"/>
  <c r="G283" i="1" a="1"/>
  <c r="G283" i="1" s="1"/>
  <c r="G284" i="1" a="1"/>
  <c r="G284" i="1" s="1"/>
  <c r="G285" i="1" a="1"/>
  <c r="G285" i="1" s="1"/>
  <c r="G286" i="1" a="1"/>
  <c r="G286" i="1" s="1"/>
  <c r="G287" i="1" a="1"/>
  <c r="G287" i="1" s="1"/>
  <c r="G288" i="1" a="1"/>
  <c r="G288" i="1" s="1"/>
  <c r="G289" i="1" a="1"/>
  <c r="G289" i="1" s="1"/>
  <c r="G290" i="1" a="1"/>
  <c r="G290" i="1" s="1"/>
  <c r="G291" i="1" a="1"/>
  <c r="G291" i="1" s="1"/>
  <c r="G292" i="1" a="1"/>
  <c r="G292" i="1" s="1"/>
  <c r="G293" i="1" a="1"/>
  <c r="G293" i="1" s="1"/>
  <c r="G294" i="1" a="1"/>
  <c r="G294" i="1" s="1"/>
  <c r="G295" i="1" a="1"/>
  <c r="G295" i="1" s="1"/>
  <c r="G296" i="1" a="1"/>
  <c r="G296" i="1" s="1"/>
  <c r="G297" i="1" a="1"/>
  <c r="G297" i="1" s="1"/>
  <c r="G298" i="1" a="1"/>
  <c r="G298" i="1" s="1"/>
  <c r="G299" i="1" a="1"/>
  <c r="G299" i="1" s="1"/>
  <c r="G300" i="1" a="1"/>
  <c r="G300" i="1" s="1"/>
  <c r="G301" i="1" a="1"/>
  <c r="G301" i="1" s="1"/>
  <c r="G302" i="1" a="1"/>
  <c r="G302" i="1" s="1"/>
  <c r="G303" i="1" a="1"/>
  <c r="G303" i="1" s="1"/>
  <c r="G304" i="1" a="1"/>
  <c r="G304" i="1" s="1"/>
  <c r="G305" i="1" a="1"/>
  <c r="G305" i="1" s="1"/>
  <c r="G306" i="1" a="1"/>
  <c r="G306" i="1" s="1"/>
  <c r="G307" i="1" a="1"/>
  <c r="G307" i="1" s="1"/>
  <c r="G308" i="1" a="1"/>
  <c r="G308" i="1" s="1"/>
  <c r="G309" i="1" a="1"/>
  <c r="G309" i="1" s="1"/>
  <c r="G310" i="1" a="1"/>
  <c r="G310" i="1" s="1"/>
  <c r="G311" i="1" a="1"/>
  <c r="G311" i="1" s="1"/>
  <c r="G312" i="1" a="1"/>
  <c r="G312" i="1" s="1"/>
  <c r="G313" i="1" a="1"/>
  <c r="G313" i="1" s="1"/>
  <c r="G314" i="1" a="1"/>
  <c r="G314" i="1" s="1"/>
  <c r="G315" i="1" a="1"/>
  <c r="G315" i="1" s="1"/>
  <c r="G316" i="1" a="1"/>
  <c r="G316" i="1" s="1"/>
  <c r="G317" i="1" a="1"/>
  <c r="G317" i="1" s="1"/>
  <c r="G318" i="1" a="1"/>
  <c r="G318" i="1" s="1"/>
  <c r="G319" i="1" a="1"/>
  <c r="G319" i="1" s="1"/>
  <c r="G320" i="1" a="1"/>
  <c r="G320" i="1" s="1"/>
  <c r="G321" i="1" a="1"/>
  <c r="G321" i="1" s="1"/>
  <c r="G322" i="1" a="1"/>
  <c r="G322" i="1" s="1"/>
  <c r="G323" i="1" a="1"/>
  <c r="G323" i="1"/>
  <c r="G324" i="1" a="1"/>
  <c r="G324" i="1" s="1"/>
  <c r="G325" i="1" a="1"/>
  <c r="G325" i="1" s="1"/>
  <c r="G326" i="1" a="1"/>
  <c r="G326" i="1" s="1"/>
  <c r="G327" i="1" a="1"/>
  <c r="G327" i="1" s="1"/>
  <c r="G328" i="1" a="1"/>
  <c r="G328" i="1" s="1"/>
  <c r="G329" i="1" a="1"/>
  <c r="G329" i="1" s="1"/>
  <c r="G330" i="1" a="1"/>
  <c r="G330" i="1" s="1"/>
  <c r="G331" i="1" a="1"/>
  <c r="G331" i="1" s="1"/>
  <c r="G332" i="1" a="1"/>
  <c r="G332" i="1" s="1"/>
  <c r="G333" i="1" a="1"/>
  <c r="G333" i="1" s="1"/>
  <c r="G334" i="1" a="1"/>
  <c r="G334" i="1" s="1"/>
  <c r="G335" i="1" a="1"/>
  <c r="G335" i="1" s="1"/>
  <c r="G336" i="1" a="1"/>
  <c r="G336" i="1" s="1"/>
  <c r="G337" i="1" a="1"/>
  <c r="G337" i="1" s="1"/>
  <c r="G338" i="1" a="1"/>
  <c r="G338" i="1" s="1"/>
  <c r="G339" i="1" a="1"/>
  <c r="G339" i="1" s="1"/>
  <c r="G340" i="1" a="1"/>
  <c r="G340" i="1" s="1"/>
  <c r="G341" i="1" a="1"/>
  <c r="G341" i="1" s="1"/>
  <c r="G342" i="1" a="1"/>
  <c r="G342" i="1" s="1"/>
  <c r="G343" i="1" a="1"/>
  <c r="G343" i="1" s="1"/>
  <c r="G344" i="1" a="1"/>
  <c r="G344" i="1" s="1"/>
  <c r="G345" i="1" a="1"/>
  <c r="G345" i="1" s="1"/>
  <c r="G346" i="1" a="1"/>
  <c r="G346" i="1" s="1"/>
  <c r="G347" i="1" a="1"/>
  <c r="G347" i="1" s="1"/>
  <c r="G348" i="1" a="1"/>
  <c r="G348" i="1" s="1"/>
  <c r="G349" i="1" a="1"/>
  <c r="G349" i="1"/>
  <c r="G350" i="1" a="1"/>
  <c r="G350" i="1" s="1"/>
  <c r="G351" i="1" a="1"/>
  <c r="G351" i="1" s="1"/>
  <c r="G352" i="1" a="1"/>
  <c r="G352" i="1" s="1"/>
  <c r="G353" i="1" a="1"/>
  <c r="G353" i="1" s="1"/>
  <c r="G354" i="1" a="1"/>
  <c r="G354" i="1" s="1"/>
  <c r="G355" i="1" a="1"/>
  <c r="G355" i="1" s="1"/>
  <c r="G356" i="1" a="1"/>
  <c r="G356" i="1" s="1"/>
  <c r="G357" i="1" a="1"/>
  <c r="G357" i="1" s="1"/>
  <c r="G358" i="1" a="1"/>
  <c r="G358" i="1" s="1"/>
  <c r="G359" i="1" a="1"/>
  <c r="G359" i="1"/>
  <c r="G360" i="1" a="1"/>
  <c r="G360" i="1" s="1"/>
  <c r="G361" i="1" a="1"/>
  <c r="G361" i="1" s="1"/>
  <c r="G362" i="1" a="1"/>
  <c r="G362" i="1" s="1"/>
  <c r="G363" i="1" a="1"/>
  <c r="G363" i="1" s="1"/>
  <c r="G364" i="1" a="1"/>
  <c r="G364" i="1" s="1"/>
  <c r="G365" i="1" a="1"/>
  <c r="G365" i="1" s="1"/>
  <c r="G366" i="1" a="1"/>
  <c r="G366" i="1"/>
  <c r="G367" i="1" a="1"/>
  <c r="G367" i="1" s="1"/>
  <c r="G368" i="1" a="1"/>
  <c r="G368" i="1"/>
  <c r="G369" i="1" a="1"/>
  <c r="G369" i="1" s="1"/>
  <c r="G370" i="1" a="1"/>
  <c r="G370" i="1"/>
  <c r="G371" i="1" a="1"/>
  <c r="G371" i="1" s="1"/>
  <c r="G372" i="1" a="1"/>
  <c r="G372" i="1" s="1"/>
  <c r="G373" i="1" a="1"/>
  <c r="G373" i="1" s="1"/>
  <c r="G374" i="1" a="1"/>
  <c r="G374" i="1"/>
  <c r="G375" i="1" a="1"/>
  <c r="G375" i="1" s="1"/>
  <c r="G376" i="1" a="1"/>
  <c r="G376" i="1" s="1"/>
  <c r="G377" i="1" a="1"/>
  <c r="G377" i="1" s="1"/>
  <c r="G378" i="1" a="1"/>
  <c r="G378" i="1" s="1"/>
  <c r="G379" i="1" a="1"/>
  <c r="G379" i="1" s="1"/>
  <c r="G380" i="1" a="1"/>
  <c r="G380" i="1" s="1"/>
  <c r="G381" i="1" a="1"/>
  <c r="G381" i="1" s="1"/>
  <c r="G382" i="1" a="1"/>
  <c r="G382" i="1" s="1"/>
  <c r="G383" i="1" a="1"/>
  <c r="G383" i="1" s="1"/>
  <c r="G384" i="1" a="1"/>
  <c r="G384" i="1"/>
  <c r="G385" i="1" a="1"/>
  <c r="G385" i="1" s="1"/>
  <c r="G386" i="1" a="1"/>
  <c r="G386" i="1" s="1"/>
  <c r="G387" i="1" a="1"/>
  <c r="G387" i="1" s="1"/>
  <c r="G388" i="1" a="1"/>
  <c r="G388" i="1" s="1"/>
  <c r="G389" i="1" a="1"/>
  <c r="G389" i="1" s="1"/>
  <c r="G390" i="1" a="1"/>
  <c r="G390" i="1" s="1"/>
  <c r="G391" i="1" a="1"/>
  <c r="G391" i="1" s="1"/>
  <c r="G392" i="1" a="1"/>
  <c r="G392" i="1"/>
  <c r="G393" i="1" a="1"/>
  <c r="G393" i="1" s="1"/>
  <c r="G394" i="1" a="1"/>
  <c r="G394" i="1"/>
  <c r="G395" i="1" a="1"/>
  <c r="G395" i="1" s="1"/>
  <c r="G396" i="1" a="1"/>
  <c r="G396" i="1" s="1"/>
  <c r="G397" i="1" a="1"/>
  <c r="G397" i="1" s="1"/>
  <c r="G398" i="1" a="1"/>
  <c r="G398" i="1" s="1"/>
  <c r="G399" i="1" a="1"/>
  <c r="G399" i="1" s="1"/>
  <c r="G400" i="1" a="1"/>
  <c r="G400" i="1" s="1"/>
  <c r="G401" i="1" a="1"/>
  <c r="G401" i="1" s="1"/>
  <c r="G402" i="1" a="1"/>
  <c r="G402" i="1" s="1"/>
  <c r="G403" i="1" a="1"/>
  <c r="G403" i="1"/>
  <c r="G404" i="1" a="1"/>
  <c r="G404" i="1" s="1"/>
  <c r="G405" i="1" a="1"/>
  <c r="G405" i="1" s="1"/>
  <c r="G406" i="1" a="1"/>
  <c r="G406" i="1" s="1"/>
  <c r="G407" i="1" a="1"/>
  <c r="G407" i="1" s="1"/>
  <c r="G408" i="1" a="1"/>
  <c r="G408" i="1" s="1"/>
  <c r="G409" i="1" a="1"/>
  <c r="G409" i="1" s="1"/>
  <c r="G410" i="1" a="1"/>
  <c r="G410" i="1"/>
  <c r="G411" i="1" a="1"/>
  <c r="G411" i="1" s="1"/>
  <c r="G412" i="1" a="1"/>
  <c r="G412" i="1" s="1"/>
  <c r="G413" i="1" a="1"/>
  <c r="G413" i="1" s="1"/>
  <c r="G414" i="1" a="1"/>
  <c r="G414" i="1" s="1"/>
  <c r="G415" i="1" a="1"/>
  <c r="G415" i="1"/>
  <c r="G416" i="1" a="1"/>
  <c r="G416" i="1" s="1"/>
  <c r="G417" i="1" a="1"/>
  <c r="G417" i="1" s="1"/>
  <c r="G418" i="1" a="1"/>
  <c r="G418" i="1" s="1"/>
  <c r="G419" i="1" a="1"/>
  <c r="G419" i="1" s="1"/>
  <c r="G420" i="1" a="1"/>
  <c r="G420" i="1" s="1"/>
  <c r="G421" i="1" a="1"/>
  <c r="G421" i="1" s="1"/>
  <c r="G422" i="1" a="1"/>
  <c r="G422" i="1" s="1"/>
  <c r="G423" i="1" a="1"/>
  <c r="G423" i="1" s="1"/>
  <c r="G424" i="1" a="1"/>
  <c r="G424" i="1" s="1"/>
  <c r="G425" i="1" a="1"/>
  <c r="G425" i="1"/>
  <c r="G426" i="1" a="1"/>
  <c r="G426" i="1" s="1"/>
  <c r="G427" i="1" a="1"/>
  <c r="G427" i="1" s="1"/>
  <c r="G428" i="1" a="1"/>
  <c r="G428" i="1" s="1"/>
  <c r="G429" i="1" a="1"/>
  <c r="G429" i="1" s="1"/>
  <c r="G430" i="1" a="1"/>
  <c r="G430" i="1" s="1"/>
  <c r="G431" i="1" a="1"/>
  <c r="G431" i="1"/>
  <c r="G432" i="1" a="1"/>
  <c r="G432" i="1"/>
  <c r="G433" i="1" a="1"/>
  <c r="G433" i="1" s="1"/>
  <c r="G434" i="1" a="1"/>
  <c r="G434" i="1" s="1"/>
  <c r="G435" i="1" a="1"/>
  <c r="G435" i="1" s="1"/>
  <c r="G436" i="1" a="1"/>
  <c r="G436" i="1" s="1"/>
  <c r="G437" i="1" a="1"/>
  <c r="G437" i="1" s="1"/>
  <c r="G438" i="1" a="1"/>
  <c r="G438" i="1" s="1"/>
  <c r="G439" i="1" a="1"/>
  <c r="G439" i="1"/>
  <c r="G440" i="1" a="1"/>
  <c r="G440" i="1"/>
  <c r="G441" i="1" a="1"/>
  <c r="G441" i="1" s="1"/>
  <c r="G442" i="1" a="1"/>
  <c r="G442" i="1" s="1"/>
  <c r="G443" i="1" a="1"/>
  <c r="G443" i="1" s="1"/>
  <c r="G444" i="1" a="1"/>
  <c r="G444" i="1"/>
  <c r="G445" i="1" a="1"/>
  <c r="G445" i="1" s="1"/>
  <c r="G446" i="1" a="1"/>
  <c r="G446" i="1" s="1"/>
  <c r="G447" i="1" a="1"/>
  <c r="G447" i="1" s="1"/>
  <c r="G448" i="1" a="1"/>
  <c r="G448" i="1" s="1"/>
  <c r="G449" i="1" a="1"/>
  <c r="G449" i="1" s="1"/>
  <c r="G450" i="1" a="1"/>
  <c r="G450" i="1" s="1"/>
  <c r="G451" i="1" a="1"/>
  <c r="G451" i="1" s="1"/>
  <c r="G452" i="1" a="1"/>
  <c r="G452" i="1"/>
  <c r="G453" i="1" a="1"/>
  <c r="G453" i="1" s="1"/>
  <c r="G454" i="1" a="1"/>
  <c r="G454" i="1" s="1"/>
  <c r="G455" i="1" a="1"/>
  <c r="G455" i="1" s="1"/>
  <c r="G456" i="1" a="1"/>
  <c r="G456" i="1" s="1"/>
  <c r="G457" i="1" a="1"/>
  <c r="G457" i="1" s="1"/>
  <c r="G458" i="1" a="1"/>
  <c r="G458" i="1" s="1"/>
  <c r="G459" i="1" a="1"/>
  <c r="G459" i="1" s="1"/>
  <c r="G460" i="1" a="1"/>
  <c r="G460" i="1" s="1"/>
  <c r="G461" i="1" a="1"/>
  <c r="G461" i="1" s="1"/>
  <c r="G462" i="1" a="1"/>
  <c r="G462" i="1" s="1"/>
  <c r="G463" i="1" a="1"/>
  <c r="G463" i="1" s="1"/>
  <c r="G464" i="1" a="1"/>
  <c r="G464" i="1" s="1"/>
  <c r="G465" i="1" a="1"/>
  <c r="G465" i="1" s="1"/>
  <c r="G466" i="1" a="1"/>
  <c r="G466" i="1"/>
  <c r="G467" i="1" a="1"/>
  <c r="G467" i="1" s="1"/>
  <c r="G468" i="1" a="1"/>
  <c r="G468" i="1" s="1"/>
  <c r="G469" i="1" a="1"/>
  <c r="G469" i="1"/>
  <c r="G470" i="1" a="1"/>
  <c r="G470" i="1" s="1"/>
  <c r="G471" i="1" a="1"/>
  <c r="G471" i="1" s="1"/>
  <c r="G472" i="1" a="1"/>
  <c r="G472" i="1" s="1"/>
  <c r="G473" i="1" a="1"/>
  <c r="G473" i="1" s="1"/>
  <c r="G474" i="1" a="1"/>
  <c r="G474" i="1" s="1"/>
  <c r="G475" i="1" a="1"/>
  <c r="G475" i="1" s="1"/>
  <c r="G476" i="1" a="1"/>
  <c r="G476" i="1" s="1"/>
  <c r="G477" i="1" a="1"/>
  <c r="G477" i="1" s="1"/>
  <c r="G478" i="1" a="1"/>
  <c r="G478" i="1" s="1"/>
  <c r="G479" i="1" a="1"/>
  <c r="G479" i="1" s="1"/>
  <c r="G480" i="1" a="1"/>
  <c r="G480" i="1"/>
  <c r="G481" i="1" a="1"/>
  <c r="G481" i="1" s="1"/>
  <c r="G482" i="1" a="1"/>
  <c r="G482" i="1" s="1"/>
  <c r="G483" i="1" a="1"/>
  <c r="G483" i="1" s="1"/>
  <c r="G484" i="1" a="1"/>
  <c r="G484" i="1" s="1"/>
  <c r="G485" i="1" a="1"/>
  <c r="G485" i="1" s="1"/>
  <c r="G486" i="1" a="1"/>
  <c r="G486" i="1" s="1"/>
  <c r="G487" i="1" a="1"/>
  <c r="G487" i="1" s="1"/>
  <c r="G488" i="1" a="1"/>
  <c r="G488" i="1" s="1"/>
  <c r="G489" i="1" a="1"/>
  <c r="G489" i="1" s="1"/>
  <c r="G490" i="1" a="1"/>
  <c r="G490" i="1"/>
  <c r="G491" i="1" a="1"/>
  <c r="G491" i="1" s="1"/>
  <c r="G492" i="1" a="1"/>
  <c r="G492" i="1" s="1"/>
  <c r="G493" i="1" a="1"/>
  <c r="G493" i="1" s="1"/>
  <c r="G494" i="1" a="1"/>
  <c r="G494" i="1" s="1"/>
  <c r="G495" i="1" a="1"/>
  <c r="G495" i="1" s="1"/>
  <c r="G496" i="1" a="1"/>
  <c r="G496" i="1" s="1"/>
  <c r="G497" i="1" a="1"/>
  <c r="G497" i="1"/>
  <c r="G498" i="1" a="1"/>
  <c r="G498" i="1"/>
  <c r="G499" i="1" a="1"/>
  <c r="G499" i="1" s="1"/>
  <c r="G500" i="1" a="1"/>
  <c r="G500" i="1" s="1"/>
  <c r="G501" i="1" a="1"/>
  <c r="G501" i="1" s="1"/>
  <c r="G502" i="1" a="1"/>
  <c r="G502" i="1" s="1"/>
  <c r="G503" i="1" a="1"/>
  <c r="G503" i="1" s="1"/>
  <c r="G504" i="1" a="1"/>
  <c r="G504" i="1" s="1"/>
  <c r="G505" i="1" a="1"/>
  <c r="G505" i="1"/>
  <c r="G506" i="1" a="1"/>
  <c r="G506" i="1"/>
  <c r="G507" i="1" a="1"/>
  <c r="G507" i="1" s="1"/>
  <c r="G508" i="1" a="1"/>
  <c r="G508" i="1"/>
  <c r="G509" i="1" a="1"/>
  <c r="G509" i="1" s="1"/>
  <c r="G510" i="1" a="1"/>
  <c r="G510" i="1" s="1"/>
  <c r="G511" i="1" a="1"/>
  <c r="G511" i="1" s="1"/>
  <c r="G512" i="1" a="1"/>
  <c r="G512" i="1" s="1"/>
  <c r="G513" i="1" a="1"/>
  <c r="G513" i="1"/>
  <c r="G514" i="1" a="1"/>
  <c r="G514" i="1" s="1"/>
  <c r="G515" i="1" a="1"/>
  <c r="G515" i="1" s="1"/>
  <c r="G516" i="1" a="1"/>
  <c r="G516" i="1" s="1"/>
  <c r="G517" i="1" a="1"/>
  <c r="G517" i="1" s="1"/>
  <c r="G518" i="1" a="1"/>
  <c r="G518" i="1" s="1"/>
  <c r="G519" i="1" a="1"/>
  <c r="G519" i="1" s="1"/>
  <c r="G520" i="1" a="1"/>
  <c r="G520" i="1" s="1"/>
  <c r="G521" i="1" a="1"/>
  <c r="G521" i="1" s="1"/>
  <c r="G522" i="1" a="1"/>
  <c r="G522" i="1" s="1"/>
  <c r="G523" i="1" a="1"/>
  <c r="G523" i="1"/>
  <c r="G524" i="1" a="1"/>
  <c r="G524" i="1" s="1"/>
  <c r="G525" i="1" a="1"/>
  <c r="G525" i="1" s="1"/>
  <c r="G526" i="1" a="1"/>
  <c r="G526" i="1" s="1"/>
  <c r="G527" i="1" a="1"/>
  <c r="G527" i="1" s="1"/>
  <c r="G528" i="1" a="1"/>
  <c r="G528" i="1" s="1"/>
  <c r="G529" i="1" a="1"/>
  <c r="G529" i="1" s="1"/>
  <c r="G530" i="1" a="1"/>
  <c r="G530" i="1" s="1"/>
  <c r="G531" i="1" a="1"/>
  <c r="G531" i="1" s="1"/>
  <c r="G532" i="1" a="1"/>
  <c r="G532" i="1" s="1"/>
  <c r="G533" i="1" a="1"/>
  <c r="G533" i="1" s="1"/>
  <c r="G534" i="1" a="1"/>
  <c r="G534" i="1" s="1"/>
  <c r="G535" i="1" a="1"/>
  <c r="G535" i="1" s="1"/>
  <c r="G536" i="1" a="1"/>
  <c r="G536" i="1" s="1"/>
  <c r="G537" i="1" a="1"/>
  <c r="G537" i="1" s="1"/>
  <c r="G538" i="1" a="1"/>
  <c r="G538" i="1" s="1"/>
  <c r="G539" i="1" a="1"/>
  <c r="G539" i="1" s="1"/>
  <c r="G540" i="1" a="1"/>
  <c r="G540" i="1" s="1"/>
  <c r="G541" i="1" a="1"/>
  <c r="G541" i="1" s="1"/>
  <c r="G542" i="1" a="1"/>
  <c r="G542" i="1" s="1"/>
  <c r="G543" i="1" a="1"/>
  <c r="G543" i="1" s="1"/>
  <c r="G544" i="1" a="1"/>
  <c r="G544" i="1" s="1"/>
  <c r="G545" i="1" a="1"/>
  <c r="G545" i="1" s="1"/>
  <c r="G546" i="1" a="1"/>
  <c r="G546" i="1" s="1"/>
  <c r="G547" i="1" a="1"/>
  <c r="G547" i="1" s="1"/>
  <c r="G548" i="1" a="1"/>
  <c r="G548" i="1" s="1"/>
  <c r="G549" i="1" a="1"/>
  <c r="G549" i="1" s="1"/>
  <c r="G550" i="1" a="1"/>
  <c r="G550" i="1" s="1"/>
  <c r="G551" i="1" a="1"/>
  <c r="G551" i="1" s="1"/>
  <c r="G552" i="1" a="1"/>
  <c r="G552" i="1" s="1"/>
  <c r="G553" i="1" a="1"/>
  <c r="G553" i="1"/>
  <c r="G554" i="1" a="1"/>
  <c r="G554" i="1"/>
  <c r="G555" i="1" a="1"/>
  <c r="G555" i="1" s="1"/>
  <c r="G556" i="1" a="1"/>
  <c r="G556" i="1" s="1"/>
  <c r="G557" i="1" a="1"/>
  <c r="G557" i="1" s="1"/>
  <c r="G558" i="1" a="1"/>
  <c r="G558" i="1" s="1"/>
  <c r="G559" i="1" a="1"/>
  <c r="G559" i="1"/>
  <c r="G560" i="1" a="1"/>
  <c r="G560" i="1" s="1"/>
  <c r="G561" i="1" a="1"/>
  <c r="G561" i="1" s="1"/>
  <c r="G562" i="1" a="1"/>
  <c r="G562" i="1"/>
  <c r="G563" i="1" a="1"/>
  <c r="G563" i="1" s="1"/>
  <c r="G564" i="1" a="1"/>
  <c r="G564" i="1" s="1"/>
  <c r="G565" i="1" a="1"/>
  <c r="G565" i="1" s="1"/>
  <c r="G566" i="1" a="1"/>
  <c r="G566" i="1"/>
  <c r="G567" i="1" a="1"/>
  <c r="G567" i="1" s="1"/>
  <c r="G568" i="1" a="1"/>
  <c r="G568" i="1" s="1"/>
  <c r="G569" i="1" a="1"/>
  <c r="G569" i="1" s="1"/>
  <c r="G570" i="1" a="1"/>
  <c r="G570" i="1" s="1"/>
  <c r="G571" i="1" a="1"/>
  <c r="G571" i="1" s="1"/>
  <c r="G572" i="1" a="1"/>
  <c r="G572" i="1" s="1"/>
  <c r="G573" i="1" a="1"/>
  <c r="G573" i="1" s="1"/>
  <c r="G574" i="1" a="1"/>
  <c r="G574" i="1" s="1"/>
  <c r="G575" i="1" a="1"/>
  <c r="G575" i="1" s="1"/>
  <c r="G576" i="1" a="1"/>
  <c r="G576" i="1" s="1"/>
  <c r="G577" i="1" a="1"/>
  <c r="G577" i="1" s="1"/>
  <c r="G578" i="1" a="1"/>
  <c r="G578" i="1" s="1"/>
  <c r="G579" i="1" a="1"/>
  <c r="G579" i="1" s="1"/>
  <c r="G580" i="1" a="1"/>
  <c r="G580" i="1" s="1"/>
  <c r="G581" i="1" a="1"/>
  <c r="G581" i="1" s="1"/>
  <c r="G582" i="1" a="1"/>
  <c r="G582" i="1" s="1"/>
  <c r="G583" i="1" a="1"/>
  <c r="G583" i="1" s="1"/>
  <c r="G584" i="1" a="1"/>
  <c r="G584" i="1" s="1"/>
  <c r="G585" i="1" a="1"/>
  <c r="G585" i="1" s="1"/>
  <c r="G586" i="1" a="1"/>
  <c r="G586" i="1" s="1"/>
  <c r="G587" i="1" a="1"/>
  <c r="G587" i="1" s="1"/>
  <c r="G588" i="1" a="1"/>
  <c r="G588" i="1" s="1"/>
  <c r="G589" i="1" a="1"/>
  <c r="G589" i="1"/>
  <c r="G590" i="1" a="1"/>
  <c r="G590" i="1"/>
  <c r="G591" i="1" a="1"/>
  <c r="G591" i="1" s="1"/>
  <c r="G592" i="1" a="1"/>
  <c r="G592" i="1" s="1"/>
  <c r="G593" i="1" a="1"/>
  <c r="G593" i="1" s="1"/>
  <c r="G594" i="1" a="1"/>
  <c r="G594" i="1" s="1"/>
  <c r="G595" i="1" a="1"/>
  <c r="G595" i="1" s="1"/>
  <c r="G596" i="1" a="1"/>
  <c r="G596" i="1" s="1"/>
  <c r="G597" i="1" a="1"/>
  <c r="G597" i="1"/>
  <c r="G598" i="1" a="1"/>
  <c r="G598" i="1"/>
  <c r="G599" i="1" a="1"/>
  <c r="G599" i="1" s="1"/>
  <c r="G600" i="1" a="1"/>
  <c r="G600" i="1" s="1"/>
  <c r="G601" i="1" a="1"/>
  <c r="G601" i="1" s="1"/>
  <c r="G602" i="1" a="1"/>
  <c r="G602" i="1" s="1"/>
  <c r="G603" i="1" a="1"/>
  <c r="G603" i="1" s="1"/>
  <c r="G604" i="1" a="1"/>
  <c r="G604" i="1" s="1"/>
  <c r="G605" i="1" a="1"/>
  <c r="G605" i="1" s="1"/>
  <c r="G606" i="1" a="1"/>
  <c r="G606" i="1" s="1"/>
  <c r="G607" i="1" a="1"/>
  <c r="G607" i="1" s="1"/>
  <c r="G608" i="1" a="1"/>
  <c r="G608" i="1" s="1"/>
  <c r="G609" i="1" a="1"/>
  <c r="G609" i="1" s="1"/>
  <c r="G610" i="1" a="1"/>
  <c r="G610" i="1"/>
  <c r="G611" i="1" a="1"/>
  <c r="G611" i="1" s="1"/>
  <c r="G612" i="1" a="1"/>
  <c r="G612" i="1" s="1"/>
  <c r="G613" i="1" a="1"/>
  <c r="G613" i="1"/>
  <c r="G614" i="1" a="1"/>
  <c r="G614" i="1" s="1"/>
  <c r="G615" i="1" a="1"/>
  <c r="G615" i="1" s="1"/>
  <c r="G616" i="1" a="1"/>
  <c r="G616" i="1" s="1"/>
  <c r="G617" i="1" a="1"/>
  <c r="G617" i="1" s="1"/>
  <c r="G618" i="1" a="1"/>
  <c r="G618" i="1"/>
  <c r="G619" i="1" a="1"/>
  <c r="G619" i="1" s="1"/>
  <c r="G620" i="1" a="1"/>
  <c r="G620" i="1" s="1"/>
  <c r="G621" i="1" a="1"/>
  <c r="G621" i="1" s="1"/>
  <c r="G622" i="1" a="1"/>
  <c r="G622" i="1" s="1"/>
  <c r="G623" i="1" a="1"/>
  <c r="G623" i="1" s="1"/>
  <c r="G624" i="1" a="1"/>
  <c r="G624" i="1" s="1"/>
  <c r="G625" i="1" a="1"/>
  <c r="G625" i="1" s="1"/>
  <c r="G626" i="1" a="1"/>
  <c r="G626" i="1"/>
  <c r="G627" i="1" a="1"/>
  <c r="G627" i="1" s="1"/>
  <c r="G628" i="1" a="1"/>
  <c r="G628" i="1"/>
  <c r="G629" i="1" a="1"/>
  <c r="G629" i="1" s="1"/>
  <c r="G630" i="1" a="1"/>
  <c r="G630" i="1" s="1"/>
  <c r="G631" i="1" a="1"/>
  <c r="G631" i="1" s="1"/>
  <c r="G632" i="1" a="1"/>
  <c r="G632" i="1" s="1"/>
  <c r="G633" i="1" a="1"/>
  <c r="G633" i="1" s="1"/>
  <c r="G634" i="1" a="1"/>
  <c r="G634" i="1" s="1"/>
  <c r="G635" i="1" a="1"/>
  <c r="G635" i="1" s="1"/>
  <c r="G636" i="1" a="1"/>
  <c r="G636" i="1" s="1"/>
  <c r="G637" i="1" a="1"/>
  <c r="G637" i="1" s="1"/>
  <c r="G638" i="1" a="1"/>
  <c r="G638" i="1" s="1"/>
  <c r="G639" i="1" a="1"/>
  <c r="G639" i="1" s="1"/>
  <c r="G640" i="1" a="1"/>
  <c r="G640" i="1" s="1"/>
  <c r="G641" i="1" a="1"/>
  <c r="G641" i="1" s="1"/>
  <c r="G642" i="1" a="1"/>
  <c r="G642" i="1" s="1"/>
  <c r="G643" i="1" a="1"/>
  <c r="G643" i="1" s="1"/>
  <c r="G644" i="1" a="1"/>
  <c r="G644" i="1" s="1"/>
  <c r="G645" i="1" a="1"/>
  <c r="G645" i="1" s="1"/>
  <c r="G646" i="1" a="1"/>
  <c r="G646" i="1" s="1"/>
  <c r="G647" i="1" a="1"/>
  <c r="G647" i="1" s="1"/>
  <c r="G648" i="1" a="1"/>
  <c r="G648" i="1" s="1"/>
  <c r="G649" i="1" a="1"/>
  <c r="G649" i="1" s="1"/>
  <c r="G650" i="1" a="1"/>
  <c r="G650" i="1" s="1"/>
  <c r="G651" i="1" a="1"/>
  <c r="G651" i="1" s="1"/>
  <c r="G652" i="1" a="1"/>
  <c r="G652" i="1" s="1"/>
  <c r="G653" i="1" a="1"/>
  <c r="G653" i="1" s="1"/>
  <c r="G654" i="1" a="1"/>
  <c r="G654" i="1" s="1"/>
  <c r="G655" i="1" a="1"/>
  <c r="G655" i="1" s="1"/>
  <c r="G656" i="1" a="1"/>
  <c r="G656" i="1"/>
  <c r="G657" i="1" a="1"/>
  <c r="G657" i="1" s="1"/>
  <c r="G658" i="1" a="1"/>
  <c r="G658" i="1" s="1"/>
  <c r="G659" i="1" a="1"/>
  <c r="G659" i="1" s="1"/>
  <c r="G660" i="1" a="1"/>
  <c r="G660" i="1" s="1"/>
  <c r="G661" i="1" a="1"/>
  <c r="G661" i="1" s="1"/>
  <c r="G662" i="1" a="1"/>
  <c r="G662" i="1" s="1"/>
  <c r="G663" i="1" a="1"/>
  <c r="G663" i="1" s="1"/>
  <c r="G664" i="1" a="1"/>
  <c r="G664" i="1" s="1"/>
  <c r="G665" i="1" a="1"/>
  <c r="G665" i="1" s="1"/>
  <c r="G666" i="1" a="1"/>
  <c r="G666" i="1" s="1"/>
  <c r="G667" i="1" a="1"/>
  <c r="G667" i="1"/>
  <c r="G668" i="1" a="1"/>
  <c r="G668" i="1" s="1"/>
  <c r="G669" i="1" a="1"/>
  <c r="G669" i="1" s="1"/>
  <c r="G670" i="1" a="1"/>
  <c r="G670" i="1" s="1"/>
  <c r="G671" i="1" a="1"/>
  <c r="G671" i="1" s="1"/>
  <c r="G672" i="1" a="1"/>
  <c r="G672" i="1" s="1"/>
  <c r="G673" i="1" a="1"/>
  <c r="G673" i="1" s="1"/>
  <c r="G674" i="1" a="1"/>
  <c r="G674" i="1" s="1"/>
  <c r="G675" i="1" a="1"/>
  <c r="G675" i="1" s="1"/>
  <c r="G676" i="1" a="1"/>
  <c r="G676" i="1" s="1"/>
  <c r="G677" i="1" a="1"/>
  <c r="G677" i="1" s="1"/>
  <c r="G678" i="1" a="1"/>
  <c r="G678" i="1" s="1"/>
  <c r="G679" i="1" a="1"/>
  <c r="G679" i="1" s="1"/>
  <c r="G680" i="1" a="1"/>
  <c r="G680" i="1" s="1"/>
  <c r="G681" i="1" a="1"/>
  <c r="G681" i="1" s="1"/>
  <c r="G682" i="1" a="1"/>
  <c r="G682" i="1"/>
  <c r="G683" i="1" a="1"/>
  <c r="G683" i="1" s="1"/>
  <c r="G684" i="1" a="1"/>
  <c r="G684" i="1"/>
  <c r="G685" i="1" a="1"/>
  <c r="G685" i="1" s="1"/>
  <c r="G686" i="1" a="1"/>
  <c r="G686" i="1" s="1"/>
  <c r="G687" i="1" a="1"/>
  <c r="G687" i="1"/>
  <c r="G688" i="1" a="1"/>
  <c r="G688" i="1" s="1"/>
  <c r="G689" i="1" a="1"/>
  <c r="G689" i="1" s="1"/>
  <c r="G690" i="1" a="1"/>
  <c r="G690" i="1" s="1"/>
  <c r="G691" i="1" a="1"/>
  <c r="G691" i="1" s="1"/>
  <c r="G692" i="1" a="1"/>
  <c r="G692" i="1" s="1"/>
  <c r="G693" i="1" a="1"/>
  <c r="G693" i="1" s="1"/>
  <c r="G694" i="1" a="1"/>
  <c r="G694" i="1" s="1"/>
  <c r="G695" i="1" a="1"/>
  <c r="G695" i="1" s="1"/>
  <c r="G696" i="1" a="1"/>
  <c r="G696" i="1" s="1"/>
  <c r="G697" i="1" a="1"/>
  <c r="G697" i="1" s="1"/>
  <c r="G698" i="1" a="1"/>
  <c r="G698" i="1"/>
  <c r="G699" i="1" a="1"/>
  <c r="G699" i="1" s="1"/>
  <c r="G700" i="1" a="1"/>
  <c r="G700" i="1" s="1"/>
  <c r="G701" i="1" a="1"/>
  <c r="G701" i="1" s="1"/>
  <c r="G702" i="1" a="1"/>
  <c r="G702" i="1" s="1"/>
  <c r="G703" i="1" a="1"/>
  <c r="G703" i="1"/>
  <c r="G704" i="1" a="1"/>
  <c r="G704" i="1" s="1"/>
  <c r="G705" i="1" a="1"/>
  <c r="G705" i="1" s="1"/>
  <c r="G706" i="1" a="1"/>
  <c r="G706" i="1"/>
  <c r="G707" i="1" a="1"/>
  <c r="G707" i="1" s="1"/>
  <c r="G708" i="1" a="1"/>
  <c r="G708" i="1" s="1"/>
  <c r="G709" i="1" a="1"/>
  <c r="G709" i="1" s="1"/>
  <c r="G710" i="1" a="1"/>
  <c r="G710" i="1" s="1"/>
  <c r="G711" i="1" a="1"/>
  <c r="G711" i="1"/>
  <c r="G712" i="1" a="1"/>
  <c r="G712" i="1" s="1"/>
  <c r="G713" i="1" a="1"/>
  <c r="G713" i="1" s="1"/>
  <c r="G714" i="1" a="1"/>
  <c r="G714" i="1" s="1"/>
  <c r="G715" i="1" a="1"/>
  <c r="G715" i="1" s="1"/>
  <c r="G716" i="1" a="1"/>
  <c r="G716" i="1" s="1"/>
  <c r="G717" i="1" a="1"/>
  <c r="G717" i="1" s="1"/>
  <c r="G718" i="1" a="1"/>
  <c r="G718" i="1" s="1"/>
  <c r="G719" i="1" a="1"/>
  <c r="G719" i="1" s="1"/>
  <c r="G720" i="1" a="1"/>
  <c r="G720" i="1" s="1"/>
  <c r="G721" i="1" a="1"/>
  <c r="G721" i="1" s="1"/>
  <c r="G722" i="1" a="1"/>
  <c r="G722" i="1" s="1"/>
  <c r="G723" i="1" a="1"/>
  <c r="G723" i="1" s="1"/>
  <c r="G724" i="1" a="1"/>
  <c r="G724" i="1"/>
  <c r="G725" i="1" a="1"/>
  <c r="G725" i="1" s="1"/>
  <c r="G726" i="1" a="1"/>
  <c r="G726" i="1" s="1"/>
  <c r="G727" i="1" a="1"/>
  <c r="G727" i="1" s="1"/>
  <c r="G728" i="1" a="1"/>
  <c r="G728" i="1" s="1"/>
  <c r="G729" i="1" a="1"/>
  <c r="G729" i="1"/>
  <c r="G730" i="1" a="1"/>
  <c r="G730" i="1" s="1"/>
  <c r="G731" i="1" a="1"/>
  <c r="G731" i="1" s="1"/>
  <c r="G732" i="1" a="1"/>
  <c r="G732" i="1" s="1"/>
  <c r="G733" i="1" a="1"/>
  <c r="G733" i="1"/>
  <c r="G734" i="1" a="1"/>
  <c r="G734" i="1" s="1"/>
  <c r="G735" i="1" a="1"/>
  <c r="G735" i="1" s="1"/>
  <c r="G736" i="1" a="1"/>
  <c r="G736" i="1" s="1"/>
  <c r="G737" i="1" a="1"/>
  <c r="G737" i="1" s="1"/>
  <c r="G738" i="1" a="1"/>
  <c r="G738" i="1" s="1"/>
  <c r="G739" i="1" a="1"/>
  <c r="G739" i="1"/>
  <c r="G740" i="1" a="1"/>
  <c r="G740" i="1"/>
  <c r="G741" i="1" a="1"/>
  <c r="G741" i="1" s="1"/>
  <c r="G742" i="1" a="1"/>
  <c r="G742" i="1" s="1"/>
  <c r="G743" i="1" a="1"/>
  <c r="G743" i="1" s="1"/>
  <c r="G744" i="1" a="1"/>
  <c r="G744" i="1" s="1"/>
  <c r="G745" i="1" a="1"/>
  <c r="G745" i="1" s="1"/>
  <c r="G746" i="1" a="1"/>
  <c r="G746" i="1" s="1"/>
  <c r="G747" i="1" a="1"/>
  <c r="G747" i="1" s="1"/>
  <c r="G748" i="1" a="1"/>
  <c r="G748" i="1" s="1"/>
  <c r="G749" i="1" a="1"/>
  <c r="G749" i="1" s="1"/>
  <c r="G750" i="1" a="1"/>
  <c r="G750" i="1" s="1"/>
  <c r="G751" i="1" a="1"/>
  <c r="G751" i="1"/>
  <c r="G752" i="1" a="1"/>
  <c r="G752" i="1" s="1"/>
  <c r="G753" i="1" a="1"/>
  <c r="G753" i="1" s="1"/>
  <c r="G754" i="1" a="1"/>
  <c r="G754" i="1"/>
  <c r="G755" i="1" a="1"/>
  <c r="G755" i="1" s="1"/>
  <c r="G756" i="1" a="1"/>
  <c r="G756" i="1" s="1"/>
  <c r="G757" i="1" a="1"/>
  <c r="G757" i="1" s="1"/>
  <c r="G758" i="1" a="1"/>
  <c r="G758" i="1" s="1"/>
  <c r="G759" i="1" a="1"/>
  <c r="G759" i="1" s="1"/>
  <c r="G760" i="1" a="1"/>
  <c r="G760" i="1" s="1"/>
  <c r="G761" i="1" a="1"/>
  <c r="G761" i="1" s="1"/>
  <c r="G762" i="1" a="1"/>
  <c r="G762" i="1" s="1"/>
  <c r="G763" i="1" a="1"/>
  <c r="G763" i="1"/>
  <c r="G764" i="1" a="1"/>
  <c r="G764" i="1"/>
  <c r="G765" i="1" a="1"/>
  <c r="G765" i="1" s="1"/>
  <c r="G766" i="1" a="1"/>
  <c r="G766" i="1" s="1"/>
  <c r="G767" i="1" a="1"/>
  <c r="G767" i="1" s="1"/>
  <c r="G768" i="1" a="1"/>
  <c r="G768" i="1" s="1"/>
  <c r="G769" i="1" a="1"/>
  <c r="G769" i="1" s="1"/>
  <c r="G770" i="1" a="1"/>
  <c r="G770" i="1" s="1"/>
  <c r="G771" i="1" a="1"/>
  <c r="G771" i="1" s="1"/>
  <c r="G772" i="1" a="1"/>
  <c r="G772" i="1" s="1"/>
  <c r="G773" i="1" a="1"/>
  <c r="G773" i="1" s="1"/>
  <c r="G774" i="1" a="1"/>
  <c r="G774" i="1" s="1"/>
  <c r="G775" i="1" a="1"/>
  <c r="G775" i="1"/>
  <c r="G776" i="1" a="1"/>
  <c r="G776" i="1"/>
  <c r="G777" i="1" a="1"/>
  <c r="G777" i="1" s="1"/>
  <c r="G778" i="1" a="1"/>
  <c r="G778" i="1" s="1"/>
  <c r="G779" i="1" a="1"/>
  <c r="G779" i="1" s="1"/>
  <c r="G780" i="1" a="1"/>
  <c r="G780" i="1" s="1"/>
  <c r="G781" i="1" a="1"/>
  <c r="G781" i="1"/>
  <c r="G782" i="1" a="1"/>
  <c r="G782" i="1"/>
  <c r="G783" i="1" a="1"/>
  <c r="G783" i="1" s="1"/>
  <c r="G784" i="1" a="1"/>
  <c r="G784" i="1" s="1"/>
  <c r="G785" i="1" a="1"/>
  <c r="G785" i="1" s="1"/>
  <c r="G786" i="1" a="1"/>
  <c r="G786" i="1" s="1"/>
  <c r="G787" i="1" a="1"/>
  <c r="G787" i="1" s="1"/>
  <c r="G788" i="1" a="1"/>
  <c r="G788" i="1" s="1"/>
  <c r="G789" i="1" a="1"/>
  <c r="G789" i="1" s="1"/>
  <c r="G790" i="1" a="1"/>
  <c r="G790" i="1"/>
  <c r="G791" i="1" a="1"/>
  <c r="G791" i="1" s="1"/>
  <c r="G792" i="1" a="1"/>
  <c r="G792" i="1" s="1"/>
  <c r="G793" i="1" a="1"/>
  <c r="G793" i="1"/>
  <c r="G794" i="1" a="1"/>
  <c r="G794" i="1" s="1"/>
  <c r="G795" i="1" a="1"/>
  <c r="G795" i="1" s="1"/>
  <c r="G796" i="1" a="1"/>
  <c r="G796" i="1" s="1"/>
  <c r="G797" i="1" a="1"/>
  <c r="G797" i="1" s="1"/>
  <c r="G798" i="1" a="1"/>
  <c r="G798" i="1" s="1"/>
  <c r="G799" i="1" a="1"/>
  <c r="G799" i="1" s="1"/>
  <c r="G800" i="1" a="1"/>
  <c r="G800" i="1"/>
  <c r="G801" i="1" a="1"/>
  <c r="G801" i="1" s="1"/>
  <c r="G802" i="1" a="1"/>
  <c r="G802" i="1" s="1"/>
  <c r="G803" i="1" a="1"/>
  <c r="G803" i="1" s="1"/>
  <c r="G804" i="1" a="1"/>
  <c r="G804" i="1" s="1"/>
  <c r="G805" i="1" a="1"/>
  <c r="G805" i="1" s="1"/>
  <c r="G806" i="1" a="1"/>
  <c r="G806" i="1" s="1"/>
  <c r="G807" i="1" a="1"/>
  <c r="G807" i="1" s="1"/>
  <c r="G808" i="1" a="1"/>
  <c r="G808" i="1" s="1"/>
  <c r="G809" i="1" a="1"/>
  <c r="G809" i="1" s="1"/>
  <c r="G810" i="1" a="1"/>
  <c r="G810" i="1" s="1"/>
  <c r="G811" i="1" a="1"/>
  <c r="G811" i="1"/>
  <c r="G812" i="1" a="1"/>
  <c r="G812" i="1"/>
  <c r="G813" i="1" a="1"/>
  <c r="G813" i="1" s="1"/>
  <c r="G814" i="1" a="1"/>
  <c r="G814" i="1" s="1"/>
  <c r="G815" i="1" a="1"/>
  <c r="G815" i="1" s="1"/>
  <c r="G816" i="1" a="1"/>
  <c r="G816" i="1" s="1"/>
  <c r="G817" i="1" a="1"/>
  <c r="G817" i="1"/>
  <c r="G818" i="1" a="1"/>
  <c r="G818" i="1" s="1"/>
  <c r="G819" i="1" a="1"/>
  <c r="G819" i="1" s="1"/>
  <c r="G820" i="1" a="1"/>
  <c r="G820" i="1" s="1"/>
  <c r="G821" i="1" a="1"/>
  <c r="G821" i="1" s="1"/>
  <c r="G822" i="1" a="1"/>
  <c r="G822" i="1" s="1"/>
  <c r="G823" i="1" a="1"/>
  <c r="G823" i="1" s="1"/>
  <c r="G824" i="1" a="1"/>
  <c r="G824" i="1" s="1"/>
  <c r="G825" i="1" a="1"/>
  <c r="G825" i="1" s="1"/>
  <c r="G826" i="1" a="1"/>
  <c r="G826" i="1" s="1"/>
  <c r="G827" i="1" a="1"/>
  <c r="G827" i="1" s="1"/>
  <c r="G828" i="1" a="1"/>
  <c r="G828" i="1" s="1"/>
  <c r="G829" i="1" a="1"/>
  <c r="G829" i="1"/>
  <c r="G830" i="1" a="1"/>
  <c r="G830" i="1" s="1"/>
  <c r="G831" i="1" a="1"/>
  <c r="G831" i="1" s="1"/>
  <c r="G832" i="1" a="1"/>
  <c r="G832" i="1" s="1"/>
  <c r="G833" i="1" a="1"/>
  <c r="G833" i="1" s="1"/>
  <c r="G834" i="1" a="1"/>
  <c r="G834" i="1" s="1"/>
  <c r="G835" i="1" a="1"/>
  <c r="G835" i="1" s="1"/>
  <c r="G836" i="1" a="1"/>
  <c r="G836" i="1" s="1"/>
  <c r="G837" i="1" a="1"/>
  <c r="G837" i="1" s="1"/>
  <c r="G838" i="1" a="1"/>
  <c r="G838" i="1" s="1"/>
  <c r="G839" i="1" a="1"/>
  <c r="G839" i="1" s="1"/>
  <c r="G840" i="1" a="1"/>
  <c r="G840" i="1" s="1"/>
  <c r="G841" i="1" a="1"/>
  <c r="G841" i="1"/>
  <c r="G842" i="1" a="1"/>
  <c r="G842" i="1" s="1"/>
  <c r="G843" i="1" a="1"/>
  <c r="G843" i="1" s="1"/>
  <c r="G844" i="1" a="1"/>
  <c r="G844" i="1" s="1"/>
  <c r="G845" i="1" a="1"/>
  <c r="G845" i="1" s="1"/>
  <c r="G846" i="1" a="1"/>
  <c r="G846" i="1" s="1"/>
  <c r="G847" i="1" a="1"/>
  <c r="G847" i="1" s="1"/>
  <c r="G848" i="1" a="1"/>
  <c r="G848" i="1"/>
  <c r="G849" i="1" a="1"/>
  <c r="G849" i="1" s="1"/>
  <c r="G850" i="1" a="1"/>
  <c r="G850" i="1"/>
  <c r="G851" i="1" a="1"/>
  <c r="G851" i="1" s="1"/>
  <c r="G852" i="1" a="1"/>
  <c r="G852" i="1" s="1"/>
  <c r="G853" i="1" a="1"/>
  <c r="G853" i="1"/>
  <c r="G854" i="1" a="1"/>
  <c r="G854" i="1" s="1"/>
  <c r="G855" i="1" a="1"/>
  <c r="G855" i="1" s="1"/>
  <c r="G856" i="1" a="1"/>
  <c r="G856" i="1"/>
  <c r="G857" i="1" a="1"/>
  <c r="G857" i="1" s="1"/>
  <c r="G858" i="1" a="1"/>
  <c r="G858" i="1" s="1"/>
  <c r="G859" i="1" a="1"/>
  <c r="G859" i="1" s="1"/>
  <c r="G860" i="1" a="1"/>
  <c r="G860" i="1" s="1"/>
  <c r="G861" i="1" a="1"/>
  <c r="G861" i="1" s="1"/>
  <c r="G862" i="1" a="1"/>
  <c r="G862" i="1" s="1"/>
  <c r="G863" i="1" a="1"/>
  <c r="G863" i="1" s="1"/>
  <c r="G864" i="1" a="1"/>
  <c r="G864" i="1" s="1"/>
  <c r="G865" i="1" a="1"/>
  <c r="G865" i="1" s="1"/>
  <c r="G866" i="1" a="1"/>
  <c r="G866" i="1" s="1"/>
  <c r="G867" i="1" a="1"/>
  <c r="G867" i="1" s="1"/>
  <c r="G868" i="1" a="1"/>
  <c r="G868" i="1" s="1"/>
  <c r="G869" i="1" a="1"/>
  <c r="G869" i="1" s="1"/>
  <c r="G870" i="1" a="1"/>
  <c r="G870" i="1" s="1"/>
  <c r="G871" i="1" a="1"/>
  <c r="G871" i="1" s="1"/>
  <c r="G872" i="1" a="1"/>
  <c r="G872" i="1" s="1"/>
  <c r="G873" i="1" a="1"/>
  <c r="G873" i="1" s="1"/>
  <c r="G874" i="1" a="1"/>
  <c r="G874" i="1" s="1"/>
  <c r="G875" i="1" a="1"/>
  <c r="G875" i="1"/>
  <c r="G876" i="1" a="1"/>
  <c r="G876" i="1" s="1"/>
  <c r="G877" i="1" a="1"/>
  <c r="G877" i="1" s="1"/>
  <c r="G878" i="1" a="1"/>
  <c r="G878" i="1" s="1"/>
  <c r="G879" i="1" a="1"/>
  <c r="G879" i="1" s="1"/>
  <c r="G880" i="1" a="1"/>
  <c r="G880" i="1" s="1"/>
  <c r="G881" i="1" a="1"/>
  <c r="G881" i="1" s="1"/>
  <c r="G882" i="1" a="1"/>
  <c r="G882" i="1" s="1"/>
  <c r="G883" i="1" a="1"/>
  <c r="G883" i="1" s="1"/>
  <c r="G884" i="1" a="1"/>
  <c r="G884" i="1"/>
  <c r="G885" i="1" a="1"/>
  <c r="G885" i="1" s="1"/>
  <c r="G886" i="1" a="1"/>
  <c r="G886" i="1" s="1"/>
  <c r="G887" i="1" a="1"/>
  <c r="G887" i="1" s="1"/>
  <c r="G888" i="1" a="1"/>
  <c r="G888" i="1" s="1"/>
  <c r="G889" i="1" a="1"/>
  <c r="G889" i="1" s="1"/>
  <c r="G890" i="1" a="1"/>
  <c r="G890" i="1" s="1"/>
  <c r="G891" i="1" a="1"/>
  <c r="G891" i="1" s="1"/>
  <c r="G892" i="1" a="1"/>
  <c r="G892" i="1"/>
  <c r="G893" i="1" a="1"/>
  <c r="G893" i="1" s="1"/>
  <c r="G894" i="1" a="1"/>
  <c r="G894" i="1" s="1"/>
  <c r="G895" i="1" a="1"/>
  <c r="G895" i="1" s="1"/>
  <c r="G896" i="1" a="1"/>
  <c r="G896" i="1" s="1"/>
  <c r="G897" i="1" a="1"/>
  <c r="G897" i="1" s="1"/>
  <c r="G898" i="1" a="1"/>
  <c r="G898" i="1"/>
  <c r="G899" i="1" a="1"/>
  <c r="G899" i="1"/>
  <c r="G900" i="1" a="1"/>
  <c r="G900" i="1" s="1"/>
  <c r="G901" i="1" a="1"/>
  <c r="G901" i="1" s="1"/>
  <c r="G902" i="1" a="1"/>
  <c r="G902" i="1" s="1"/>
  <c r="G903" i="1" a="1"/>
  <c r="G903" i="1" s="1"/>
  <c r="G904" i="1" a="1"/>
  <c r="G904" i="1" s="1"/>
  <c r="G905" i="1" a="1"/>
  <c r="G905" i="1"/>
  <c r="G906" i="1" a="1"/>
  <c r="G906" i="1" s="1"/>
  <c r="G907" i="1" a="1"/>
  <c r="G907" i="1" s="1"/>
  <c r="G908" i="1" a="1"/>
  <c r="G908" i="1" s="1"/>
  <c r="G909" i="1" a="1"/>
  <c r="G909" i="1" s="1"/>
  <c r="G910" i="1" a="1"/>
  <c r="G910" i="1" s="1"/>
  <c r="G911" i="1" a="1"/>
  <c r="G911" i="1"/>
  <c r="G912" i="1" a="1"/>
  <c r="G912" i="1" s="1"/>
  <c r="G913" i="1" a="1"/>
  <c r="G913" i="1" s="1"/>
  <c r="G914" i="1" a="1"/>
  <c r="G914" i="1" s="1"/>
  <c r="G915" i="1" a="1"/>
  <c r="G915" i="1" s="1"/>
  <c r="G916" i="1" a="1"/>
  <c r="G916" i="1" s="1"/>
  <c r="G917" i="1" a="1"/>
  <c r="G917" i="1" s="1"/>
  <c r="G918" i="1" a="1"/>
  <c r="G918" i="1" s="1"/>
  <c r="G919" i="1" a="1"/>
  <c r="G919" i="1" s="1"/>
  <c r="G920" i="1" a="1"/>
  <c r="G920" i="1"/>
  <c r="G921" i="1" a="1"/>
  <c r="G921" i="1" s="1"/>
  <c r="G922" i="1" a="1"/>
  <c r="G922" i="1" s="1"/>
  <c r="G923" i="1" a="1"/>
  <c r="G923" i="1"/>
  <c r="G924" i="1" a="1"/>
  <c r="G924" i="1" s="1"/>
  <c r="G925" i="1" a="1"/>
  <c r="G925" i="1" s="1"/>
  <c r="G926" i="1" a="1"/>
  <c r="G926" i="1"/>
  <c r="G927" i="1" a="1"/>
  <c r="G927" i="1" s="1"/>
  <c r="G928" i="1" a="1"/>
  <c r="G928" i="1"/>
  <c r="G929" i="1" a="1"/>
  <c r="G929" i="1" s="1"/>
  <c r="G930" i="1" a="1"/>
  <c r="G930" i="1" s="1"/>
  <c r="G931" i="1" a="1"/>
  <c r="G931" i="1" s="1"/>
  <c r="G932" i="1" a="1"/>
  <c r="G932" i="1" s="1"/>
  <c r="G933" i="1" a="1"/>
  <c r="G933" i="1" s="1"/>
  <c r="G934" i="1" a="1"/>
  <c r="G934" i="1"/>
  <c r="G935" i="1" a="1"/>
  <c r="G935" i="1"/>
  <c r="G936" i="1" a="1"/>
  <c r="G936" i="1" s="1"/>
  <c r="G937" i="1" a="1"/>
  <c r="G937" i="1" s="1"/>
  <c r="G938" i="1" a="1"/>
  <c r="G938" i="1" s="1"/>
  <c r="G939" i="1" a="1"/>
  <c r="G939" i="1" s="1"/>
  <c r="G940" i="1" a="1"/>
  <c r="G940" i="1" s="1"/>
  <c r="G941" i="1" a="1"/>
  <c r="G941" i="1"/>
  <c r="G942" i="1" a="1"/>
  <c r="G942" i="1" s="1"/>
  <c r="G943" i="1" a="1"/>
  <c r="G943" i="1" s="1"/>
  <c r="G944" i="1" a="1"/>
  <c r="G944" i="1" s="1"/>
  <c r="G945" i="1" a="1"/>
  <c r="G945" i="1" s="1"/>
  <c r="G946" i="1" a="1"/>
  <c r="G946" i="1" s="1"/>
  <c r="G947" i="1" a="1"/>
  <c r="G947" i="1" s="1"/>
  <c r="G948" i="1" a="1"/>
  <c r="G948" i="1" s="1"/>
  <c r="G949" i="1" a="1"/>
  <c r="G949" i="1" s="1"/>
  <c r="G950" i="1" a="1"/>
  <c r="G950" i="1" s="1"/>
  <c r="G951" i="1" a="1"/>
  <c r="G951" i="1" s="1"/>
  <c r="G952" i="1" a="1"/>
  <c r="G952" i="1" s="1"/>
  <c r="G953" i="1" a="1"/>
  <c r="G953" i="1" s="1"/>
  <c r="G954" i="1" a="1"/>
  <c r="G954" i="1" s="1"/>
  <c r="G955" i="1" a="1"/>
  <c r="G955" i="1" s="1"/>
  <c r="G956" i="1" a="1"/>
  <c r="G956" i="1" s="1"/>
  <c r="G957" i="1" a="1"/>
  <c r="G957" i="1" s="1"/>
  <c r="G958" i="1" a="1"/>
  <c r="G958" i="1" s="1"/>
  <c r="G959" i="1" a="1"/>
  <c r="G959" i="1" s="1"/>
  <c r="G960" i="1" a="1"/>
  <c r="G960" i="1" s="1"/>
  <c r="G961" i="1" a="1"/>
  <c r="G961" i="1" s="1"/>
  <c r="G962" i="1" a="1"/>
  <c r="G962" i="1"/>
  <c r="G963" i="1" a="1"/>
  <c r="G963" i="1" s="1"/>
  <c r="G964" i="1" a="1"/>
  <c r="G964" i="1" s="1"/>
  <c r="G965" i="1" a="1"/>
  <c r="G965" i="1" s="1"/>
  <c r="G966" i="1" a="1"/>
  <c r="G966" i="1" s="1"/>
  <c r="G967" i="1" a="1"/>
  <c r="G967" i="1" s="1"/>
  <c r="G968" i="1" a="1"/>
  <c r="G968" i="1" s="1"/>
  <c r="G969" i="1" a="1"/>
  <c r="G969" i="1" s="1"/>
  <c r="G970" i="1" a="1"/>
  <c r="G970" i="1"/>
  <c r="G971" i="1" a="1"/>
  <c r="G971" i="1"/>
  <c r="G972" i="1" a="1"/>
  <c r="G972" i="1" s="1"/>
  <c r="G973" i="1" a="1"/>
  <c r="G973" i="1" s="1"/>
  <c r="G974" i="1" a="1"/>
  <c r="G974" i="1" s="1"/>
  <c r="G975" i="1" a="1"/>
  <c r="G975" i="1" s="1"/>
  <c r="G976" i="1" a="1"/>
  <c r="G976" i="1" s="1"/>
  <c r="G977" i="1" a="1"/>
  <c r="G977" i="1" s="1"/>
  <c r="G978" i="1" a="1"/>
  <c r="G978" i="1" s="1"/>
  <c r="G979" i="1" a="1"/>
  <c r="G979" i="1" s="1"/>
  <c r="G980" i="1" a="1"/>
  <c r="G980" i="1" s="1"/>
  <c r="G981" i="1" a="1"/>
  <c r="G981" i="1" s="1"/>
  <c r="G982" i="1" a="1"/>
  <c r="G982" i="1" s="1"/>
  <c r="G983" i="1" a="1"/>
  <c r="G983" i="1" s="1"/>
  <c r="G984" i="1" a="1"/>
  <c r="G984" i="1" s="1"/>
  <c r="G985" i="1" a="1"/>
  <c r="G985" i="1" s="1"/>
  <c r="G986" i="1" a="1"/>
  <c r="G986" i="1"/>
  <c r="G987" i="1" a="1"/>
  <c r="G987" i="1" s="1"/>
  <c r="G988" i="1" a="1"/>
  <c r="G988" i="1" s="1"/>
  <c r="G989" i="1" a="1"/>
  <c r="G989" i="1" s="1"/>
  <c r="G990" i="1" a="1"/>
  <c r="G990" i="1" s="1"/>
  <c r="G991" i="1" a="1"/>
  <c r="G991" i="1" s="1"/>
  <c r="G992" i="1" a="1"/>
  <c r="G992" i="1"/>
  <c r="G993" i="1" a="1"/>
  <c r="G993" i="1" s="1"/>
  <c r="G994" i="1" a="1"/>
  <c r="G994" i="1" s="1"/>
  <c r="G995" i="1" a="1"/>
  <c r="G995" i="1"/>
  <c r="G996" i="1" a="1"/>
  <c r="G996" i="1" s="1"/>
  <c r="G997" i="1" a="1"/>
  <c r="G997" i="1" s="1"/>
  <c r="G998" i="1" a="1"/>
  <c r="G998" i="1"/>
  <c r="G999" i="1" a="1"/>
  <c r="G999" i="1" s="1"/>
  <c r="G1000" i="1" a="1"/>
  <c r="G1000" i="1"/>
  <c r="G1001" i="1" a="1"/>
  <c r="G1001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C375EC-B588-4C17-AEFC-BB0248373D3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7EAE7C7-1A3D-42E1-B109-9BAEA8618519}" name="WorksheetConnection_retail_sales_dataset_task sheet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retail_sales_dataset_tasksheet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<sst xmlns="http://schemas.openxmlformats.org/spreadsheetml/2006/main" count="3073" uniqueCount="1053">
  <si>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</si>
  <si>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</si>
  <si>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</si>
  <si>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</si>
  <si>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</si>
  <si>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</si>
  <si>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</si>
  <si>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</si>
  <si>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</si>
  <si>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</si>
  <si>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</si>
  <si>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</si>
  <si>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</si>
  <si>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</si>
  <si>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</si>
  <si>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</si>
  <si>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</si>
  <si>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</si>
  <si>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</si>
  <si>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</si>
  <si>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</si>
  <si>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</si>
  <si>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</si>
  <si>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</si>
  <si>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</si>
  <si>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</si>
  <si>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</si>
  <si>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</si>
  <si>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</si>
  <si>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</si>
  <si>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</si>
  <si>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</si>
  <si>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</si>
  <si>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</si>
  <si>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</si>
  <si>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</si>
  <si>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</si>
  <si>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</si>
  <si>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</si>
  <si>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</si>
  <si>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</si>
  <si>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</si>
  <si>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</si>
  <si>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</si>
  <si>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</si>
  <si>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</si>
  <si>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</si>
  <si>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</si>
  <si>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</si>
  <si>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</si>
  <si>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</si>
  <si>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</si>
  <si>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</si>
  <si>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</si>
  <si>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</si>
  <si>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</si>
  <si>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</si>
  <si>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</si>
  <si>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</si>
  <si>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</si>
  <si>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</si>
  <si>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</si>
  <si>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</si>
  <si>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</si>
  <si>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</si>
  <si>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</si>
  <si>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</si>
  <si>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</si>
  <si>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</si>
  <si>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</si>
  <si>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</si>
  <si>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</si>
  <si>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</si>
  <si>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</si>
  <si>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</si>
  <si>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</si>
  <si>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</si>
  <si>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</si>
  <si>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</si>
  <si>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</si>
  <si>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</si>
  <si>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</si>
  <si>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</si>
  <si>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</si>
  <si>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</si>
  <si>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</si>
  <si>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</si>
  <si>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</si>
  <si>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</si>
  <si>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</si>
  <si>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</si>
  <si>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</si>
  <si>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</si>
  <si>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</si>
  <si>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</si>
  <si>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</si>
  <si>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</si>
  <si>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</si>
  <si>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</si>
  <si>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</si>
  <si>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</si>
  <si>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</si>
  <si>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</si>
  <si>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</si>
  <si>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</si>
  <si>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</si>
  <si>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</si>
  <si>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</si>
  <si>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</si>
  <si>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</si>
  <si>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</si>
  <si>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</si>
  <si>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</si>
  <si>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</si>
  <si>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</si>
  <si>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</si>
  <si>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</si>
  <si>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</si>
  <si>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</si>
  <si>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</si>
  <si>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</si>
  <si>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</si>
  <si>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</si>
  <si>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</si>
  <si>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</si>
  <si>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</si>
  <si>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</si>
  <si>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</si>
  <si>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</si>
  <si>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</si>
  <si>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</si>
  <si>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</si>
  <si>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</si>
  <si>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</si>
  <si>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</si>
  <si>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</si>
  <si>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</si>
  <si>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</si>
  <si>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</si>
  <si>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</si>
  <si>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</si>
  <si>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</si>
  <si>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</si>
  <si>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</si>
  <si>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</si>
  <si>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</si>
  <si>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</si>
  <si>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</si>
  <si>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</si>
  <si>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</si>
  <si>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</si>
  <si>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</si>
  <si>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</si>
  <si>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</si>
  <si>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</si>
  <si>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</si>
  <si>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</si>
  <si>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</si>
  <si>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</si>
  <si>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</si>
  <si>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</si>
  <si>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</si>
  <si>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</si>
  <si>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</si>
  <si>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</si>
  <si>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</si>
  <si>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</si>
  <si>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</si>
  <si>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</si>
  <si>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</si>
  <si>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</si>
  <si>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</si>
  <si>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</si>
  <si>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</si>
  <si>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</si>
  <si>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</si>
  <si>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</si>
  <si>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</si>
  <si>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</si>
  <si>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</si>
  <si>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</si>
  <si>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</si>
  <si>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</si>
  <si>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</si>
  <si>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</si>
  <si>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</si>
  <si>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</si>
  <si>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</si>
  <si>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</si>
  <si>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</si>
  <si>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</si>
  <si>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</si>
  <si>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</si>
  <si>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</si>
  <si>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</si>
  <si>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</si>
  <si>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</si>
  <si>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</si>
  <si>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</si>
  <si>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</si>
  <si>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</si>
  <si>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</si>
  <si>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</si>
  <si>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</si>
  <si>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</si>
  <si>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</si>
  <si>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</si>
  <si>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</si>
  <si>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</si>
  <si>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</si>
  <si>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</si>
  <si>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</si>
  <si>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</si>
  <si>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</si>
  <si>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</si>
  <si>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</si>
  <si>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</si>
  <si>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</si>
  <si>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</si>
  <si>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</si>
  <si>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</si>
  <si>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</si>
  <si>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</si>
  <si>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</si>
  <si>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</si>
  <si>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</si>
  <si>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</si>
  <si>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</si>
  <si>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</si>
  <si>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</si>
  <si>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</si>
  <si>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</si>
  <si>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</si>
  <si>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</si>
  <si>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</si>
  <si>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</si>
  <si>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</si>
  <si>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</si>
  <si>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</si>
  <si>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</si>
  <si>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</si>
  <si>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</si>
  <si>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</si>
  <si>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</si>
  <si>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</si>
  <si>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</si>
  <si>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</si>
  <si>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</si>
  <si>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</si>
  <si>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</si>
  <si>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</si>
  <si>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</si>
  <si>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</si>
  <si>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</si>
  <si>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</si>
  <si>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</si>
  <si>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</si>
  <si>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</si>
  <si>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</si>
  <si>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</si>
  <si>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</si>
  <si>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</si>
  <si>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</si>
  <si>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</si>
  <si>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</si>
  <si>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</si>
  <si>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</si>
  <si>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</si>
  <si>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</si>
  <si>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</si>
  <si>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</si>
  <si>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</si>
  <si>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</si>
  <si>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</si>
  <si>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</si>
  <si>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</si>
  <si>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</si>
  <si>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</si>
  <si>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</si>
  <si>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</si>
  <si>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</si>
  <si>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</si>
  <si>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</si>
  <si>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</si>
  <si>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</si>
  <si>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</si>
  <si>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</si>
  <si>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</si>
  <si>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</si>
  <si>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</si>
  <si>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</si>
  <si>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</si>
  <si>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</si>
  <si>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</si>
  <si>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</si>
  <si>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</si>
  <si>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</si>
  <si>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</si>
  <si>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</si>
  <si>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</si>
  <si>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</si>
  <si>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</si>
  <si>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</si>
  <si>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</si>
  <si>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</si>
  <si>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</si>
  <si>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</si>
  <si>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</si>
  <si>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</si>
  <si>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</si>
  <si>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</si>
  <si>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</si>
  <si>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</si>
  <si>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</si>
  <si>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</si>
  <si>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</si>
  <si>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</si>
  <si>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</si>
  <si>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</si>
  <si>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</si>
  <si>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</si>
  <si>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</si>
  <si>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</si>
  <si>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</si>
  <si>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</si>
  <si>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</si>
  <si>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</si>
  <si>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</si>
  <si>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</si>
  <si>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</si>
  <si>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</si>
  <si>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</si>
  <si>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</si>
  <si>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</si>
  <si>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</si>
  <si>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</si>
  <si>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</si>
  <si>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</si>
  <si>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</si>
  <si>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</si>
  <si>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</si>
  <si>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</si>
  <si>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</si>
  <si>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</si>
  <si>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</si>
  <si>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</si>
  <si>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</si>
  <si>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</si>
  <si>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</si>
  <si>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</si>
  <si>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</si>
  <si>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</si>
  <si>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</si>
  <si>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</si>
  <si>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</si>
  <si>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</si>
  <si>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</si>
  <si>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</si>
  <si>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</si>
  <si>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</si>
  <si>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</si>
  <si>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</si>
  <si>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</si>
  <si>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</si>
  <si>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</si>
  <si>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</si>
  <si>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</si>
  <si>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</si>
  <si>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</si>
  <si>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</si>
  <si>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</si>
  <si>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</si>
  <si>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</si>
  <si>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</si>
  <si>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</si>
  <si>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</si>
  <si>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</si>
  <si>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</si>
  <si>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</si>
  <si>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</si>
  <si>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</si>
  <si>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</si>
  <si>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</si>
  <si>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</si>
  <si>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</si>
  <si>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</si>
  <si>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</si>
  <si>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</si>
  <si>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</si>
  <si>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</si>
  <si>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</si>
  <si>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</si>
  <si>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</si>
  <si>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</si>
  <si>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</si>
  <si>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</si>
  <si>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</si>
  <si>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</si>
  <si>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</si>
  <si>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</si>
  <si>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</si>
  <si>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</si>
  <si>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</si>
  <si>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</si>
  <si>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</si>
  <si>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</si>
  <si>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</si>
  <si>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</si>
  <si>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</si>
  <si>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</si>
  <si>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</si>
  <si>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</si>
  <si>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</si>
  <si>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</si>
  <si>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</si>
  <si>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</si>
  <si>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</si>
  <si>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</si>
  <si>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</si>
  <si>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</si>
  <si>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</si>
  <si>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</si>
  <si>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</si>
  <si>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</si>
  <si>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</si>
  <si>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</si>
  <si>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</si>
  <si>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</si>
  <si>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</si>
  <si>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</si>
  <si>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</si>
  <si>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</si>
  <si>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</si>
  <si>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</si>
  <si>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</si>
  <si>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</si>
  <si>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</si>
  <si>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</si>
  <si>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</si>
  <si>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</si>
  <si>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</si>
  <si>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</si>
  <si>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</si>
  <si>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</si>
  <si>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</si>
  <si>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</si>
  <si>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</si>
  <si>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</si>
  <si>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</si>
  <si>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</si>
  <si>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</si>
  <si>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</si>
  <si>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</si>
  <si>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</si>
  <si>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</si>
  <si>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</si>
  <si>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</si>
  <si>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</si>
  <si>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</si>
  <si>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</si>
  <si>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</si>
  <si>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</si>
  <si>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</si>
  <si>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</si>
  <si>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</si>
  <si>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</si>
  <si>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</si>
  <si>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</si>
  <si>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</si>
  <si>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</si>
  <si>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</si>
  <si>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</si>
  <si>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</si>
  <si>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</si>
  <si>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</si>
  <si>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</si>
  <si>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</si>
  <si>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</si>
  <si>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</si>
  <si>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</si>
  <si>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</si>
  <si>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</si>
  <si>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</si>
  <si>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</si>
  <si>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</si>
  <si>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</si>
  <si>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</si>
  <si>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</si>
  <si>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</si>
  <si>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</si>
  <si>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</si>
  <si>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</si>
  <si>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</si>
  <si>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</si>
  <si>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</si>
  <si>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</si>
  <si>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</si>
  <si>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</si>
  <si>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</si>
  <si>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</si>
  <si>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</si>
  <si>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</si>
  <si>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</si>
  <si>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</si>
  <si>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</si>
  <si>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</si>
  <si>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</si>
  <si>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</si>
  <si>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</si>
  <si>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</si>
  <si>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</si>
  <si>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</si>
  <si>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</si>
  <si>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</si>
  <si>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</si>
  <si>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</si>
  <si>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</si>
  <si>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</si>
  <si>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</si>
  <si>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</si>
  <si>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</si>
  <si>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</si>
  <si>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</si>
  <si>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</si>
  <si>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</si>
  <si>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</si>
  <si>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</si>
  <si>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</si>
  <si>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</si>
  <si>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</si>
  <si>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</si>
  <si>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</si>
  <si>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</si>
  <si>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</si>
  <si>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</si>
  <si>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</si>
  <si>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</si>
  <si>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</si>
  <si>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</si>
  <si>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</si>
  <si>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</si>
  <si>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</si>
  <si>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</si>
  <si>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</si>
  <si>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</si>
  <si>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</si>
  <si>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</si>
  <si>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</si>
  <si>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</si>
  <si>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</si>
  <si>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</si>
  <si>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</si>
  <si>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</si>
  <si>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</si>
  <si>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</si>
  <si>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</si>
  <si>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</si>
  <si>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</si>
  <si>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</si>
  <si>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</si>
  <si>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</si>
  <si>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</si>
  <si>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</si>
  <si>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</si>
  <si>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</si>
  <si>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</si>
  <si>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</si>
  <si>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</si>
  <si>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</si>
  <si>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</si>
  <si>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</si>
  <si>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</si>
  <si>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</si>
  <si>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</si>
  <si>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</si>
  <si>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</si>
  <si>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</si>
  <si>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</si>
  <si>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</si>
  <si>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</si>
  <si>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</si>
  <si>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</si>
  <si>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</si>
  <si>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</si>
  <si>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</si>
  <si>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</si>
  <si>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</si>
  <si>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</si>
  <si>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</si>
  <si>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</si>
  <si>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</si>
  <si>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</si>
  <si>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</si>
  <si>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</si>
  <si>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</si>
  <si>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</si>
  <si>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</si>
  <si>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</si>
  <si>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</si>
  <si>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</si>
  <si>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</si>
  <si>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</si>
  <si>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</si>
  <si>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</si>
  <si>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</si>
  <si>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</si>
  <si>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</si>
  <si>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</si>
  <si>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</si>
  <si>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</si>
  <si>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</si>
  <si>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</si>
  <si>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</si>
  <si>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</si>
  <si>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</si>
  <si>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</si>
  <si>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</si>
  <si>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</si>
  <si>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</si>
  <si>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</si>
  <si>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</si>
  <si>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</si>
  <si>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</si>
  <si>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</si>
  <si>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</si>
  <si>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</si>
  <si>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</si>
  <si>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</si>
  <si>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</si>
  <si>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</si>
  <si>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</si>
  <si>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</si>
  <si>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</si>
  <si>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</si>
  <si>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</si>
  <si>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</si>
  <si>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</si>
  <si>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</si>
  <si>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</si>
  <si>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</si>
  <si>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</si>
  <si>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</si>
  <si>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</si>
  <si>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</si>
  <si>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</si>
  <si>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</si>
  <si>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</si>
  <si>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</si>
  <si>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</si>
  <si>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</si>
  <si>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</si>
  <si>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</si>
  <si>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</si>
  <si>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</si>
  <si>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</si>
  <si>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</si>
  <si>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</si>
  <si>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</si>
  <si>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</si>
  <si>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</si>
  <si>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</si>
  <si>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</si>
  <si>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</si>
  <si>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</si>
  <si>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</si>
  <si>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</si>
  <si>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</si>
  <si>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</si>
  <si>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</si>
  <si>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</si>
  <si>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</si>
  <si>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</si>
  <si>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</si>
  <si>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</si>
  <si>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</si>
  <si>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</si>
  <si>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</si>
  <si>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</si>
  <si>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</si>
  <si>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</si>
  <si>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</si>
  <si>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</si>
  <si>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</si>
  <si>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</si>
  <si>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</si>
  <si>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</si>
  <si>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</si>
  <si>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</si>
  <si>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</si>
  <si>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</si>
  <si>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</si>
  <si>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</si>
  <si>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</si>
  <si>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</si>
  <si>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</si>
  <si>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</si>
  <si>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</si>
  <si>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</si>
  <si>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</si>
  <si>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</si>
  <si>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</si>
  <si>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</si>
  <si>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</si>
  <si>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</si>
  <si>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</si>
  <si>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</si>
  <si>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</si>
  <si>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</si>
  <si>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</si>
  <si>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</si>
  <si>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</si>
  <si>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</si>
  <si>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</si>
  <si>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</si>
  <si>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</si>
  <si>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</si>
  <si>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</si>
  <si>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</si>
  <si>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</si>
  <si>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</si>
  <si>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</si>
  <si>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</si>
  <si>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</si>
  <si>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</si>
  <si>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</si>
  <si>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</si>
  <si>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</si>
  <si>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</si>
  <si>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</si>
  <si>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</si>
  <si>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</si>
  <si>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</si>
  <si>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</si>
  <si>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</si>
  <si>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</si>
  <si>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</si>
  <si>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</si>
  <si>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</si>
  <si>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</si>
  <si>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</si>
  <si>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</si>
  <si>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</si>
  <si>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</si>
  <si>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</si>
  <si>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</si>
  <si>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</si>
  <si>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</si>
  <si>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</si>
  <si>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</si>
  <si>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</si>
  <si>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</si>
  <si>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</si>
  <si>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</si>
  <si>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</si>
  <si>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</si>
  <si>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</si>
  <si>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</si>
  <si>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</si>
  <si>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</si>
  <si>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</si>
  <si>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</si>
  <si>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</si>
  <si>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</si>
  <si>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</si>
  <si>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</si>
  <si>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</si>
  <si>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</si>
  <si>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</si>
  <si>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</si>
  <si>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</si>
  <si>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</si>
  <si>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</si>
  <si>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</si>
  <si>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</si>
  <si>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</si>
  <si>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</si>
  <si>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</si>
  <si>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</si>
  <si>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</si>
  <si>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</si>
  <si>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</si>
  <si>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</si>
  <si>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</si>
  <si>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</si>
  <si>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</si>
  <si>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</si>
  <si>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</si>
  <si>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</si>
  <si>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</si>
  <si>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</si>
  <si>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</si>
  <si>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</si>
  <si>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</si>
  <si>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</si>
  <si>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</si>
  <si>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</si>
  <si>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</si>
  <si>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</si>
  <si>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</si>
  <si>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</si>
  <si>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</si>
  <si>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</si>
  <si>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</si>
  <si>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</si>
  <si>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</si>
  <si>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</si>
  <si>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</si>
  <si>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</si>
  <si>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</si>
  <si>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</si>
  <si>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</si>
  <si>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</si>
  <si>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</si>
  <si>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</si>
  <si>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</si>
  <si>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</si>
  <si>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</si>
  <si>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</si>
  <si>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</si>
  <si>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</si>
  <si>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</si>
  <si>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</si>
  <si>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</si>
  <si>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</si>
  <si>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</si>
  <si>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</si>
  <si>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</si>
  <si>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</si>
  <si>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</si>
  <si>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</si>
  <si>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</si>
  <si>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</si>
  <si>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</si>
  <si>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</si>
  <si>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</si>
  <si>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</si>
  <si>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</si>
  <si>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</si>
  <si>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</si>
  <si>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</si>
  <si>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</si>
  <si>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</si>
  <si>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</si>
  <si>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</si>
  <si>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</si>
  <si>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</si>
  <si>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</si>
  <si>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</si>
  <si>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</si>
  <si>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</si>
  <si>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</si>
  <si>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</si>
  <si>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</si>
  <si>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</si>
  <si>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</si>
  <si>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</si>
  <si>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</si>
  <si>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</si>
  <si>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</si>
  <si>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</si>
  <si>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</si>
  <si>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</si>
  <si>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</si>
  <si>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</si>
  <si>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</si>
  <si>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</si>
  <si>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</si>
  <si>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</si>
  <si>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</si>
  <si>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</si>
  <si>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</si>
  <si>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</si>
  <si>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</si>
  <si>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</si>
  <si>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</si>
  <si>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</si>
  <si>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</si>
  <si>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</si>
  <si>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</si>
  <si>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</si>
  <si>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</si>
  <si>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</si>
  <si>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</si>
  <si>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</si>
  <si>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</si>
  <si>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</si>
  <si>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</si>
  <si>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</si>
  <si>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</si>
  <si>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</si>
  <si>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</si>
  <si>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</si>
  <si>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</si>
  <si>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</si>
  <si>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</si>
  <si>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</si>
  <si>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</si>
  <si>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</si>
  <si>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</si>
  <si>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</si>
  <si>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</si>
  <si>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</si>
  <si>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</si>
  <si>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</si>
  <si>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</si>
  <si>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</si>
  <si>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</si>
  <si>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</si>
  <si>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</si>
  <si>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</si>
  <si>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</si>
  <si>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</si>
  <si>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</si>
  <si>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</si>
  <si>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</si>
  <si>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</si>
  <si>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</si>
  <si>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</si>
  <si>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</si>
  <si>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</si>
  <si>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</si>
  <si>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</si>
  <si>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</si>
  <si>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</si>
  <si>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</si>
  <si>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</si>
  <si>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</si>
  <si>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</si>
  <si>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</si>
  <si>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</si>
  <si>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</si>
  <si>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</si>
  <si>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</si>
  <si>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</si>
  <si>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</si>
  <si>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</si>
  <si>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</si>
  <si>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</si>
  <si>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</si>
  <si>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</si>
  <si>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</si>
  <si>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</si>
  <si>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</si>
  <si>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</si>
  <si>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</si>
  <si>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</si>
  <si>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</si>
  <si>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</si>
  <si>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</si>
  <si>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</si>
  <si>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</si>
  <si>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</si>
  <si>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</si>
  <si>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</si>
  <si>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</si>
  <si>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</si>
  <si>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</si>
  <si>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</si>
  <si>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</si>
  <si>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</si>
  <si>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</si>
  <si>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</si>
  <si>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</si>
  <si>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</si>
  <si>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</si>
  <si>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</si>
  <si>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</si>
  <si>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</si>
  <si>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</si>
  <si>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</si>
  <si>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</si>
  <si>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</si>
  <si>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</si>
  <si>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</si>
  <si>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</si>
  <si>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</si>
  <si>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</si>
  <si>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</si>
  <si>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</si>
  <si>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</si>
  <si>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</si>
  <si>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</si>
  <si>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</si>
  <si>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</si>
  <si>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</si>
  <si>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</si>
  <si>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</si>
  <si>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</si>
  <si>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</si>
  <si>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</si>
  <si>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</si>
  <si>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</si>
  <si>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</si>
  <si>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</si>
  <si>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</si>
  <si>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</si>
  <si>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</si>
  <si>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</si>
  <si>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</si>
  <si>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</si>
  <si>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</si>
  <si>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</si>
  <si>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</si>
  <si>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</si>
  <si>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</si>
  <si>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</si>
  <si>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</si>
  <si>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</si>
  <si>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</si>
  <si>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</si>
  <si>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</si>
  <si>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</si>
  <si>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</si>
  <si>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</si>
  <si>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Task</t>
  </si>
  <si>
    <t>create new coloumn for Age Category that coloumn should contain if Cust age is less than 25 (Young),25 to 40 (Mid-Age),Greater than 40 Old-Age</t>
  </si>
  <si>
    <t>Create pivot table to calculate Total sales based on Product category</t>
  </si>
  <si>
    <t>Create pivot table to calculate quantiy sold based on Gender</t>
  </si>
  <si>
    <t>Create Pivot table to calculate Total sales based on age category</t>
  </si>
  <si>
    <t>Create Month coloumn</t>
  </si>
  <si>
    <t>Create Pivot table to get Monthly sales</t>
  </si>
  <si>
    <t>Create best Visualization for all the pivots</t>
  </si>
  <si>
    <t>S.No</t>
  </si>
  <si>
    <t>Create pivot to calculate total customers based on age category</t>
  </si>
  <si>
    <t>Age category</t>
  </si>
  <si>
    <t>Grand Total</t>
  </si>
  <si>
    <t>Age Category</t>
  </si>
  <si>
    <t>Mid-Age</t>
  </si>
  <si>
    <t>Old-Age</t>
  </si>
  <si>
    <t>Young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</si>
  <si>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</si>
  <si>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</si>
  <si>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</si>
  <si>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</si>
  <si>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</si>
  <si>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</si>
  <si>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</si>
  <si>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</si>
  <si>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</si>
  <si>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</si>
  <si>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</si>
  <si>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</si>
  <si>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</si>
  <si>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/>
  </si>
  <si>
    <t>Task 8</t>
  </si>
  <si>
    <t>Total Sales</t>
  </si>
  <si>
    <t>Task 2</t>
  </si>
  <si>
    <t>Task 3</t>
  </si>
  <si>
    <t>Task 4</t>
  </si>
  <si>
    <t>Total Quantity</t>
  </si>
  <si>
    <t>Task 6</t>
  </si>
  <si>
    <t>SKEW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</si>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</sst>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16" fillId="33" borderId="10" xfId="0" applyFont="1" applyFill="1" applyBorder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6" fillId="34" borderId="0" xfId="0" applyFont="1" applyFill="1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 wrapText="1"/>
    </xf>
    <xf numFmtId="0" fontId="0" fillId="35" borderId="0" xfId="0" applyFill="1" applyAlignment="1">
      <alignment horizontal="center"/>
    </xf>
    <xf numFmtId="14" fontId="0" fillId="35" borderId="0" xfId="0" applyNumberForma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2">
    <dxf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wrapText="1"/>
    </dxf>
    <dxf>
      <alignment wrapText="1"/>
    </dxf>
  </dxfs>
  <tableStyles count="0" defaultTableStyle="TableStyleMedium2" defaultPivotStyle="PivotStyleLight16"/>
  <colors>
    <mruColors>
      <color rgb="FFFC1091"/>
      <color rgb="FFF961EE"/>
      <color rgb="FFB410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5" Type="http://schemas.openxmlformats.org/officeDocument/2006/relationships/calcChain" Target="calcChain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[retail_sales_dataset_task sheet.xlsx]Sheet1!PivotTable2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Task 2 Product Category</a:t>
            </a:r>
            <a:r>
              <a:rPr lang="en-US" sz="1200" baseline="0"/>
              <a:t> by Sales</a:t>
            </a:r>
          </a:p>
        </c:rich>
      </c:tx>
      <c:layout>
        <c:manualLayout>
          <c:xMode val="edge"/>
          <c:yMode val="edge"/>
          <c:x val="0.10693598071682282"/>
          <c:y val="5.82616996218930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rgbClr val="FFFF00"/>
          </a:solidFill>
          <a:ln>
            <a:noFill/>
          </a:ln>
          <a:effectLst/>
        </c:spPr>
      </c:pivotFmt>
      <c:pivotFmt>
        <c:idx val="3"/>
        <c:spPr>
          <a:solidFill>
            <a:srgbClr val="F961EE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961E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515-487F-AF53-9366D802CB48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515-487F-AF53-9366D802CB4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515-487F-AF53-9366D802CB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15-487F-AF53-9366D802CB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2783264"/>
        <c:axId val="212789024"/>
      </c:barChart>
      <c:catAx>
        <c:axId val="21278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89024"/>
        <c:crosses val="autoZero"/>
        <c:auto val="1"/>
        <c:lblAlgn val="ctr"/>
        <c:lblOffset val="100"/>
        <c:noMultiLvlLbl val="0"/>
      </c:catAx>
      <c:valAx>
        <c:axId val="21278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8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  <a:softEdge rad="127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[retail_sales_dataset_task sheet.xlsx]Sheet1!PivotTable7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/>
              <a:t>Task 3 Quantity</a:t>
            </a:r>
            <a:r>
              <a:rPr lang="en-IN" sz="1200" baseline="0"/>
              <a:t> by Gender</a:t>
            </a:r>
            <a:endParaRPr lang="en-IN" sz="1200"/>
          </a:p>
        </c:rich>
      </c:tx>
      <c:layout>
        <c:manualLayout>
          <c:xMode val="edge"/>
          <c:yMode val="edge"/>
          <c:x val="0.20179786220586446"/>
          <c:y val="6.32826241859213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rgbClr val="B410AC"/>
          </a:solidFill>
          <a:ln w="19050" cmpd="sng">
            <a:solidFill>
              <a:schemeClr val="lt1"/>
            </a:solidFill>
            <a:round/>
          </a:ln>
          <a:effectLst/>
        </c:spPr>
        <c:marker>
          <c:symbol val="none"/>
        </c:marker>
        <c:dLbl>
          <c:idx val="0"/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C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410AC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FC1091"/>
          </a:solidFill>
          <a:ln w="19050" cmpd="sng">
            <a:solidFill>
              <a:schemeClr val="lt1"/>
            </a:solidFill>
            <a:round/>
          </a:ln>
          <a:effectLst/>
        </c:spPr>
        <c:dLbl>
          <c:idx val="0"/>
          <c:layout>
            <c:manualLayout>
              <c:x val="4.8943390330019293E-2"/>
              <c:y val="-3.1633478083479501E-2"/>
            </c:manualLayout>
          </c:layout>
          <c:tx>
            <c:rich>
              <a:bodyPr rot="0" spcFirstLastPara="1" vertOverflow="ellipsis" vert="horz" wrap="square" lIns="38100" tIns="19050" rIns="38100" bIns="19050" anchor="ctr" anchorCtr="0">
                <a:noAutofit/>
              </a:bodyPr>
              <a:lstStyle/>
              <a:p>
                <a:pPr algn="ctr" rtl="0">
                  <a:defRPr lang="en-US" sz="1000" b="1" i="0" u="none" strike="noStrike" kern="1200" baseline="0">
                    <a:solidFill>
                      <a:sysClr val="windowText" lastClr="000000">
                        <a:lumMod val="75000"/>
                        <a:lumOff val="2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fld id="{5D22B1EF-57DB-4278-B5D9-4BD36290FEDE}" type="CATEGORYNAME">
                  <a:rPr lang="en-US" sz="1000" b="1" i="0" u="none" strike="noStrike" kern="1200" baseline="0">
                    <a:solidFill>
                      <a:sysClr val="windowText" lastClr="000000">
                        <a:lumMod val="75000"/>
                        <a:lumOff val="25000"/>
                      </a:sysClr>
                    </a:solidFill>
                    <a:latin typeface="+mn-lt"/>
                    <a:ea typeface="+mn-ea"/>
                    <a:cs typeface="+mn-cs"/>
                  </a:rPr>
                  <a:pPr algn="ctr" rtl="0">
                    <a:defRPr lang="en-US" sz="1000" b="1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</a:defRPr>
                  </a:pPr>
                  <a:t>[CATEGORY NAME]</a:t>
                </a:fld>
                <a:endParaRPr lang="en-US" sz="1000" b="1" i="0" u="none" strike="noStrike" kern="1200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+mn-lt"/>
                  <a:ea typeface="+mn-ea"/>
                  <a:cs typeface="+mn-cs"/>
                </a:endParaRPr>
              </a:p>
              <a:p>
                <a:pPr algn="ctr" rtl="0">
                  <a:defRPr lang="en-US" sz="1000" b="1">
                    <a:solidFill>
                      <a:sysClr val="windowText" lastClr="000000">
                        <a:lumMod val="75000"/>
                        <a:lumOff val="25000"/>
                      </a:sysClr>
                    </a:solidFill>
                  </a:defRPr>
                </a:pPr>
                <a:fld id="{AE2BDA92-15EE-4299-B702-9BD3A9514797}" type="VALUE">
                  <a:rPr lang="en-US" sz="1000" b="1" i="0" u="none" strike="noStrike" kern="1200" baseline="0">
                    <a:solidFill>
                      <a:sysClr val="windowText" lastClr="000000">
                        <a:lumMod val="75000"/>
                        <a:lumOff val="25000"/>
                      </a:sysClr>
                    </a:solidFill>
                    <a:latin typeface="+mn-lt"/>
                    <a:ea typeface="+mn-ea"/>
                    <a:cs typeface="+mn-cs"/>
                  </a:rPr>
                  <a:pPr algn="ctr" rtl="0">
                    <a:defRPr lang="en-US" sz="1000" b="1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</a:defRPr>
                  </a:pPr>
                  <a:t>[VALUE]</a:t>
                </a:fld>
                <a:endParaRPr lang="en-US" sz="1000" b="1" i="0" u="none" strike="noStrike" kern="1200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+mn-lt"/>
                  <a:ea typeface="+mn-ea"/>
                  <a:cs typeface="+mn-cs"/>
                </a:endParaRPr>
              </a:p>
              <a:p>
                <a:pPr algn="ctr" rtl="0">
                  <a:defRPr lang="en-US" sz="1000" b="1">
                    <a:solidFill>
                      <a:sysClr val="windowText" lastClr="000000">
                        <a:lumMod val="75000"/>
                        <a:lumOff val="25000"/>
                      </a:sysClr>
                    </a:solidFill>
                  </a:defRPr>
                </a:pPr>
                <a:fld id="{8DEDD36B-5E12-4A1B-A487-2655B2B4F699}" type="PERCENTAGE">
                  <a:rPr lang="en-US" sz="1000" b="1" i="0" u="none" strike="noStrike" kern="1200" baseline="0">
                    <a:solidFill>
                      <a:sysClr val="windowText" lastClr="000000">
                        <a:lumMod val="75000"/>
                        <a:lumOff val="25000"/>
                      </a:sysClr>
                    </a:solidFill>
                    <a:latin typeface="+mn-lt"/>
                    <a:ea typeface="+mn-ea"/>
                    <a:cs typeface="+mn-cs"/>
                  </a:rPr>
                  <a:pPr algn="ctr" rtl="0">
                    <a:defRPr lang="en-US" sz="1000" b="1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</a:defRPr>
                  </a:pPr>
                  <a:t>[PERCENTAGE]</a:t>
                </a:fld>
                <a:endParaRPr lang="en-IN"/>
              </a:p>
            </c:rich>
          </c:tx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noAutofit/>
            </a:bodyPr>
            <a:lstStyle/>
            <a:p>
              <a:pPr algn="ctr" rtl="0">
                <a:defRPr lang="en-US" sz="1000" b="1" i="0" u="none" strike="noStrike" kern="1200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22940120897531388"/>
                  <c:h val="0.3223770242312442"/>
                </c:manualLayout>
              </c15:layout>
              <c15:dlblFieldTable/>
              <c15:showDataLabelsRange val="0"/>
            </c:ext>
          </c:extLst>
        </c:dLbl>
      </c:pivotFmt>
      <c:pivotFmt>
        <c:idx val="4"/>
        <c:spPr>
          <a:solidFill>
            <a:srgbClr val="0070C0"/>
          </a:solidFill>
          <a:ln w="19050" cmpd="sng">
            <a:solidFill>
              <a:schemeClr val="lt1"/>
            </a:solidFill>
            <a:round/>
          </a:ln>
          <a:effectLst/>
        </c:spPr>
        <c:dLbl>
          <c:idx val="0"/>
          <c:layout>
            <c:manualLayout>
              <c:x val="-2.9870636545098139E-2"/>
              <c:y val="4.112401967353254E-2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lang="en-US" sz="1000" b="1" i="0" u="none" strike="noStrike" kern="1200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21031293640021889"/>
                  <c:h val="0.3223770242312442"/>
                </c:manualLayout>
              </c15:layout>
            </c:ext>
          </c:extLst>
        </c:dLbl>
      </c:pivotFmt>
      <c:pivotFmt>
        <c:idx val="5"/>
        <c:spPr>
          <a:solidFill>
            <a:srgbClr val="0070C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2681258559499981"/>
          <c:y val="0.23182518050496548"/>
          <c:w val="0.47820938407971475"/>
          <c:h val="0.68135454713060639"/>
        </c:manualLayout>
      </c:layout>
      <c:doughnutChart>
        <c:varyColors val="1"/>
        <c:ser>
          <c:idx val="1"/>
          <c:order val="1"/>
          <c:tx>
            <c:strRef>
              <c:f>Sheet1!$F$3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0070C0"/>
            </a:solidFill>
          </c:spPr>
          <c:dPt>
            <c:idx val="0"/>
            <c:bubble3D val="0"/>
            <c:spPr>
              <a:solidFill>
                <a:srgbClr val="B410A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67-47D6-9C42-65BC3D89CFE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30-4086-A6C2-FF9315DB9740}"/>
              </c:ext>
            </c:extLst>
          </c:dPt>
          <c:cat>
            <c:strRef>
              <c:f>Sheet1!$D$4:$D$6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Sheet1!$F$4:$F$6</c:f>
              <c:numCache>
                <c:formatCode>General</c:formatCode>
                <c:ptCount val="2"/>
                <c:pt idx="0">
                  <c:v>232840</c:v>
                </c:pt>
                <c:pt idx="1">
                  <c:v>223160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67-47D6-9C42-65BC3D89C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pieChart>
        <c:varyColors val="1"/>
        <c:ser>
          <c:idx val="0"/>
          <c:order val="0"/>
          <c:tx>
            <c:strRef>
              <c:f>Sheet1!$E$3</c:f>
              <c:strCache>
                <c:ptCount val="1"/>
                <c:pt idx="0">
                  <c:v>Total Quantity</c:v>
                </c:pt>
              </c:strCache>
            </c:strRef>
          </c:tx>
          <c:spPr>
            <a:solidFill>
              <a:srgbClr val="B410AC"/>
            </a:solidFill>
            <a:ln cmpd="sng">
              <a:round/>
            </a:ln>
          </c:spPr>
          <c:dPt>
            <c:idx val="0"/>
            <c:bubble3D val="0"/>
            <c:spPr>
              <a:solidFill>
                <a:srgbClr val="FC1091"/>
              </a:solidFill>
              <a:ln w="19050" cmpd="sng">
                <a:solidFill>
                  <a:schemeClr val="l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D667-47D6-9C42-65BC3D89CFE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 cmpd="sng">
                <a:solidFill>
                  <a:schemeClr val="l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D667-47D6-9C42-65BC3D89CFEF}"/>
              </c:ext>
            </c:extLst>
          </c:dPt>
          <c:dLbls>
            <c:dLbl>
              <c:idx val="0"/>
              <c:layout>
                <c:manualLayout>
                  <c:x val="4.8943390330019293E-2"/>
                  <c:y val="-3.163347808347950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ctr" rtl="0">
                      <a:defRPr lang="en-US" sz="1000" b="1" i="0" u="none" strike="noStrike" kern="1200" baseline="0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D22B1EF-57DB-4278-B5D9-4BD36290FEDE}" type="CATEGORYNAME">
                      <a:rPr lang="en-US" sz="1000" b="1" i="0" u="none" strike="noStrike" kern="1200" baseline="0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  <a:latin typeface="+mn-lt"/>
                        <a:ea typeface="+mn-ea"/>
                        <a:cs typeface="+mn-cs"/>
                      </a:rPr>
                      <a:pPr algn="ctr" rtl="0">
                        <a:defRPr lang="en-US" sz="1000" b="1">
                          <a:solidFill>
                            <a:sysClr val="windowText" lastClr="000000">
                              <a:lumMod val="75000"/>
                              <a:lumOff val="25000"/>
                            </a:sysClr>
                          </a:solidFill>
                        </a:defRPr>
                      </a:pPr>
                      <a:t>[CATEGORY NAME]</a:t>
                    </a:fld>
                    <a:endParaRPr lang="en-US" sz="1000" b="1" i="0" u="none" strike="noStrike" kern="1200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  <a:latin typeface="+mn-lt"/>
                      <a:ea typeface="+mn-ea"/>
                      <a:cs typeface="+mn-cs"/>
                    </a:endParaRPr>
                  </a:p>
                  <a:p>
                    <a:pPr algn="ctr" rtl="0">
                      <a:defRPr lang="en-US" sz="1000" b="1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</a:defRPr>
                    </a:pPr>
                    <a:fld id="{AE2BDA92-15EE-4299-B702-9BD3A9514797}" type="VALUE">
                      <a:rPr lang="en-US" sz="1000" b="1" i="0" u="none" strike="noStrike" kern="1200" baseline="0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  <a:latin typeface="+mn-lt"/>
                        <a:ea typeface="+mn-ea"/>
                        <a:cs typeface="+mn-cs"/>
                      </a:rPr>
                      <a:pPr algn="ctr" rtl="0">
                        <a:defRPr lang="en-US" sz="1000" b="1">
                          <a:solidFill>
                            <a:sysClr val="windowText" lastClr="000000">
                              <a:lumMod val="75000"/>
                              <a:lumOff val="25000"/>
                            </a:sysClr>
                          </a:solidFill>
                        </a:defRPr>
                      </a:pPr>
                      <a:t>[VALUE]</a:t>
                    </a:fld>
                    <a:endParaRPr lang="en-US" sz="1000" b="1" i="0" u="none" strike="noStrike" kern="1200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  <a:latin typeface="+mn-lt"/>
                      <a:ea typeface="+mn-ea"/>
                      <a:cs typeface="+mn-cs"/>
                    </a:endParaRPr>
                  </a:p>
                  <a:p>
                    <a:pPr algn="ctr" rtl="0">
                      <a:defRPr lang="en-US" sz="1000" b="1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</a:defRPr>
                    </a:pPr>
                    <a:fld id="{8DEDD36B-5E12-4A1B-A487-2655B2B4F699}" type="PERCENTAGE">
                      <a:rPr lang="en-US" sz="1000" b="1" i="0" u="none" strike="noStrike" kern="1200" baseline="0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  <a:latin typeface="+mn-lt"/>
                        <a:ea typeface="+mn-ea"/>
                        <a:cs typeface="+mn-cs"/>
                      </a:rPr>
                      <a:pPr algn="ctr" rtl="0">
                        <a:defRPr lang="en-US" sz="1000" b="1">
                          <a:solidFill>
                            <a:sysClr val="windowText" lastClr="000000">
                              <a:lumMod val="75000"/>
                              <a:lumOff val="25000"/>
                            </a:sysClr>
                          </a:solidFill>
                        </a:defRPr>
                      </a:pPr>
                      <a:t>[PERCENTAGE]</a:t>
                    </a:fld>
                    <a:endParaRPr lang="en-IN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 rtl="0">
                    <a:defRPr lang="en-US" sz="1000" b="1" i="0" u="none" strike="noStrike" kern="1200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2940120897531388"/>
                      <c:h val="0.322377024231244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D667-47D6-9C42-65BC3D89CFEF}"/>
                </c:ext>
              </c:extLst>
            </c:dLbl>
            <c:dLbl>
              <c:idx val="1"/>
              <c:layout>
                <c:manualLayout>
                  <c:x val="-2.9870636545098139E-2"/>
                  <c:y val="4.11240196735325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US" sz="1000" b="1" i="0" u="none" strike="noStrike" kern="1200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1031293640021889"/>
                      <c:h val="0.322377024231244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667-47D6-9C42-65BC3D89CFEF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Sheet1!$D$4:$D$6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Sheet1!$E$4:$E$6</c:f>
              <c:numCache>
                <c:formatCode>General</c:formatCode>
                <c:ptCount val="2"/>
                <c:pt idx="0">
                  <c:v>1298</c:v>
                </c:pt>
                <c:pt idx="1">
                  <c:v>1216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67-47D6-9C42-65BC3D89C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[retail_sales_dataset_task sheet.xlsx]Sheet1!PivotTable9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/>
              <a:t>Task 4 Sales by Age </a:t>
            </a:r>
            <a:r>
              <a:rPr lang="en-US" sz="1200"/>
              <a:t>Category </a:t>
            </a:r>
            <a:endParaRPr lang="en-IN" sz="1200"/>
          </a:p>
        </c:rich>
      </c:tx>
      <c:layout>
        <c:manualLayout>
          <c:xMode val="edge"/>
          <c:yMode val="edge"/>
          <c:x val="0.26474536922236869"/>
          <c:y val="0.880015338480112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rgbClr val="F961EE"/>
          </a:solidFill>
          <a:ln>
            <a:noFill/>
          </a:ln>
          <a:effectLst/>
        </c:spPr>
        <c:marker>
          <c:symbol val="none"/>
        </c:marker>
        <c:dLbl>
          <c:idx val="0"/>
          <c:numFmt formatCode="General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2060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349491639690143"/>
          <c:y val="0.3049436640393528"/>
          <c:w val="0.8298821256602944"/>
          <c:h val="0.446496066019374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Sheet1!$I$2:$I$3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rgbClr val="F961EE"/>
            </a:solidFill>
            <a:ln>
              <a:noFill/>
            </a:ln>
            <a:effectLst/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Sheet1!$H$4:$H$7</c:f>
              <c:strCache>
                <c:ptCount val="3"/>
                <c:pt idx="0">
                  <c:v>Mid-Age</c:v>
                </c:pt>
                <c:pt idx="1">
                  <c:v>Old-Age</c:v>
                </c:pt>
                <c:pt idx="2">
                  <c:v>Young</c:v>
                </c:pt>
              </c:strCache>
            </c:strRef>
          </c:cat>
          <c:val>
            <c:numRef>
              <c:f>Sheet1!$I$4:$I$7</c:f>
              <c:numCache>
                <c:formatCode>General</c:formatCode>
                <c:ptCount val="3"/>
                <c:pt idx="0">
                  <c:v>49630</c:v>
                </c:pt>
                <c:pt idx="1">
                  <c:v>64980</c:v>
                </c:pt>
                <c:pt idx="2">
                  <c:v>28905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17-4497-AD01-AC5CD15A096D}"/>
            </c:ext>
          </c:extLst>
        </c:ser>
        <c:ser>
          <c:idx val="1"/>
          <c:order val="1"/>
          <c:tx>
            <c:strRef>
              <c:f>Sheet1!$J$2:$J$3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Sheet1!$H$4:$H$7</c:f>
              <c:strCache>
                <c:ptCount val="3"/>
                <c:pt idx="0">
                  <c:v>Mid-Age</c:v>
                </c:pt>
                <c:pt idx="1">
                  <c:v>Old-Age</c:v>
                </c:pt>
                <c:pt idx="2">
                  <c:v>Young</c:v>
                </c:pt>
              </c:strCache>
            </c:strRef>
          </c:cat>
          <c:val>
            <c:numRef>
              <c:f>Sheet1!$J$4:$J$7</c:f>
              <c:numCache>
                <c:formatCode>General</c:formatCode>
                <c:ptCount val="3"/>
                <c:pt idx="0">
                  <c:v>57760</c:v>
                </c:pt>
                <c:pt idx="1">
                  <c:v>75660</c:v>
                </c:pt>
                <c:pt idx="2">
                  <c:v>22160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17-4497-AD01-AC5CD15A096D}"/>
            </c:ext>
          </c:extLst>
        </c:ser>
        <c:ser>
          <c:idx val="2"/>
          <c:order val="2"/>
          <c:tx>
            <c:strRef>
              <c:f>Sheet1!$K$2:$K$3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Sheet1!$H$4:$H$7</c:f>
              <c:strCache>
                <c:ptCount val="3"/>
                <c:pt idx="0">
                  <c:v>Mid-Age</c:v>
                </c:pt>
                <c:pt idx="1">
                  <c:v>Old-Age</c:v>
                </c:pt>
                <c:pt idx="2">
                  <c:v>Young</c:v>
                </c:pt>
              </c:strCache>
            </c:strRef>
          </c:cat>
          <c:val>
            <c:numRef>
              <c:f>Sheet1!$K$4:$K$7</c:f>
              <c:numCache>
                <c:formatCode>General</c:formatCode>
                <c:ptCount val="3"/>
                <c:pt idx="0">
                  <c:v>46855</c:v>
                </c:pt>
                <c:pt idx="1">
                  <c:v>86465</c:v>
                </c:pt>
                <c:pt idx="2">
                  <c:v>23585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17-4497-AD01-AC5CD15A09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5862848"/>
        <c:axId val="1885864768"/>
      </c:barChart>
      <c:catAx>
        <c:axId val="188586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864768"/>
        <c:crosses val="autoZero"/>
        <c:auto val="1"/>
        <c:lblAlgn val="ctr"/>
        <c:lblOffset val="100"/>
        <c:noMultiLvlLbl val="0"/>
      </c:catAx>
      <c:valAx>
        <c:axId val="18858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86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[retail_sales_dataset_task sheet.xlsx]Sheet1!PivotTable17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/>
              <a:t>Task 8 Age </a:t>
            </a:r>
            <a:r>
              <a:rPr lang="en-US" sz="1200"/>
              <a:t>Category by Gender</a:t>
            </a:r>
            <a:endParaRPr lang="en-IN" sz="1200"/>
          </a:p>
        </c:rich>
      </c:tx>
      <c:layout>
        <c:manualLayout>
          <c:xMode val="edge"/>
          <c:yMode val="edge"/>
          <c:x val="0.1320741872930529"/>
          <c:y val="2.60821347645419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C109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93076090198558"/>
          <c:y val="0.21543444165231246"/>
          <c:w val="0.46428396167281705"/>
          <c:h val="0.6263491172463836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Sheet1!$K$21:$K$22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C109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Sheet1!$J$23:$J$26</c:f>
              <c:strCache>
                <c:ptCount val="3"/>
                <c:pt idx="0">
                  <c:v>Mid-Age</c:v>
                </c:pt>
                <c:pt idx="1">
                  <c:v>Old-Age</c:v>
                </c:pt>
                <c:pt idx="2">
                  <c:v>Young</c:v>
                </c:pt>
              </c:strCache>
            </c:strRef>
          </c:cat>
          <c:val>
            <c:numRef>
              <c:f>Sheet1!$K$23:$K$26</c:f>
              <c:numCache>
                <c:formatCode>General</c:formatCode>
                <c:ptCount val="3"/>
                <c:pt idx="0">
                  <c:v>164</c:v>
                </c:pt>
                <c:pt idx="1">
                  <c:v>274</c:v>
                </c:pt>
                <c:pt idx="2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54-4252-B586-9AD8EB1D50E3}"/>
            </c:ext>
          </c:extLst>
        </c:ser>
        <c:ser>
          <c:idx val="1"/>
          <c:order val="1"/>
          <c:tx>
            <c:strRef>
              <c:f>Sheet1!$L$21:$L$22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Sheet1!$J$23:$J$26</c:f>
              <c:strCache>
                <c:ptCount val="3"/>
                <c:pt idx="0">
                  <c:v>Mid-Age</c:v>
                </c:pt>
                <c:pt idx="1">
                  <c:v>Old-Age</c:v>
                </c:pt>
                <c:pt idx="2">
                  <c:v>Young</c:v>
                </c:pt>
              </c:strCache>
            </c:strRef>
          </c:cat>
          <c:val>
            <c:numRef>
              <c:f>Sheet1!$L$23:$L$26</c:f>
              <c:numCache>
                <c:formatCode>General</c:formatCode>
                <c:ptCount val="3"/>
                <c:pt idx="0">
                  <c:v>153</c:v>
                </c:pt>
                <c:pt idx="1">
                  <c:v>260</c:v>
                </c:pt>
                <c:pt idx="2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54-4252-B586-9AD8EB1D50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07862735"/>
        <c:axId val="1007879535"/>
      </c:barChart>
      <c:catAx>
        <c:axId val="1007862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879535"/>
        <c:crosses val="autoZero"/>
        <c:auto val="1"/>
        <c:lblAlgn val="ctr"/>
        <c:lblOffset val="100"/>
        <c:noMultiLvlLbl val="0"/>
      </c:catAx>
      <c:valAx>
        <c:axId val="1007879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86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170208372939817"/>
          <c:y val="0.35872040088446511"/>
          <c:w val="0.18834978259369176"/>
          <c:h val="0.211853009514969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[retail_sales_dataset_task sheet.xlsx]Sheet1!PivotTable16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Task 6 Month</a:t>
            </a:r>
            <a:r>
              <a:rPr lang="en-US" sz="1200" baseline="0"/>
              <a:t> wise Sales</a:t>
            </a:r>
            <a:endParaRPr lang="en-US" sz="1200"/>
          </a:p>
        </c:rich>
      </c:tx>
      <c:layout>
        <c:manualLayout>
          <c:xMode val="edge"/>
          <c:yMode val="edge"/>
          <c:x val="0.18781219613064151"/>
          <c:y val="3.4432250818613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9166668979658927E-3"/>
          <c:y val="0.21597629325975135"/>
          <c:w val="0.85795575276641589"/>
          <c:h val="0.74959145592163556"/>
        </c:manualLayout>
      </c:layout>
      <c:pie3DChart>
        <c:varyColors val="1"/>
        <c:ser>
          <c:idx val="0"/>
          <c:order val="0"/>
          <c:tx>
            <c:strRef>
              <c:f>Sheet1!$O$3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Sheet1!$N$4:$N$16</c:f>
              <c:strCache>
                <c:ptCount val="12"/>
                <c:pt idx="0">
                  <c:v>April</c:v>
                </c:pt>
                <c:pt idx="1">
                  <c:v>August</c:v>
                </c:pt>
                <c:pt idx="2">
                  <c:v>December</c:v>
                </c:pt>
                <c:pt idx="3">
                  <c:v>February</c:v>
                </c:pt>
                <c:pt idx="4">
                  <c:v>January</c:v>
                </c:pt>
                <c:pt idx="5">
                  <c:v>July</c:v>
                </c:pt>
                <c:pt idx="6">
                  <c:v>June</c:v>
                </c:pt>
                <c:pt idx="7">
                  <c:v>March</c:v>
                </c:pt>
                <c:pt idx="8">
                  <c:v>May</c:v>
                </c:pt>
                <c:pt idx="9">
                  <c:v>November</c:v>
                </c:pt>
                <c:pt idx="10">
                  <c:v>October</c:v>
                </c:pt>
                <c:pt idx="11">
                  <c:v>September</c:v>
                </c:pt>
              </c:strCache>
            </c:strRef>
          </c:cat>
          <c:val>
            <c:numRef>
              <c:f>Sheet1!$O$4:$O$16</c:f>
              <c:numCache>
                <c:formatCode>General</c:formatCode>
                <c:ptCount val="12"/>
                <c:pt idx="0">
                  <c:v>33870</c:v>
                </c:pt>
                <c:pt idx="1">
                  <c:v>36960</c:v>
                </c:pt>
                <c:pt idx="2">
                  <c:v>44690</c:v>
                </c:pt>
                <c:pt idx="3">
                  <c:v>44060</c:v>
                </c:pt>
                <c:pt idx="4">
                  <c:v>36980</c:v>
                </c:pt>
                <c:pt idx="5">
                  <c:v>35465</c:v>
                </c:pt>
                <c:pt idx="6">
                  <c:v>36715</c:v>
                </c:pt>
                <c:pt idx="7">
                  <c:v>28990</c:v>
                </c:pt>
                <c:pt idx="8">
                  <c:v>53150</c:v>
                </c:pt>
                <c:pt idx="9">
                  <c:v>34920</c:v>
                </c:pt>
                <c:pt idx="10">
                  <c:v>46580</c:v>
                </c:pt>
                <c:pt idx="11">
                  <c:v>23620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C3-4426-B2C4-C48722C3C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241067882411841"/>
          <c:y val="8.2471978695679904E-2"/>
          <c:w val="0.18489383144731547"/>
          <c:h val="0.835320350911863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retail_sales_dataset!$L$1</c:f>
              <c:strCache>
                <c:ptCount val="1"/>
                <c:pt idx="0">
                  <c:v>SKEW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retail_sales_dataset!$L$2:$L$1001</c:f>
              <c:numCache>
                <c:formatCode>General</c:formatCode>
                <c:ptCount val="1000"/>
                <c:pt idx="0">
                  <c:v>0.73630777806655667</c:v>
                </c:pt>
                <c:pt idx="1">
                  <c:v>0.73472179850319796</c:v>
                </c:pt>
                <c:pt idx="2">
                  <c:v>0.737758979180835</c:v>
                </c:pt>
                <c:pt idx="3">
                  <c:v>0.73619811353420939</c:v>
                </c:pt>
                <c:pt idx="4">
                  <c:v>0.73924303337655672</c:v>
                </c:pt>
                <c:pt idx="5">
                  <c:v>0.73765135627708744</c:v>
                </c:pt>
                <c:pt idx="6">
                  <c:v>0.73608582946562107</c:v>
                </c:pt>
                <c:pt idx="7">
                  <c:v>0.73453744527635534</c:v>
                </c:pt>
                <c:pt idx="8">
                  <c:v>0.73298727062585156</c:v>
                </c:pt>
                <c:pt idx="9">
                  <c:v>0.73472494305837943</c:v>
                </c:pt>
                <c:pt idx="10">
                  <c:v>0.73312414210377042</c:v>
                </c:pt>
                <c:pt idx="11">
                  <c:v>0.73152134382256662</c:v>
                </c:pt>
                <c:pt idx="12">
                  <c:v>0.72996395677341153</c:v>
                </c:pt>
                <c:pt idx="13">
                  <c:v>0.73302111464464237</c:v>
                </c:pt>
                <c:pt idx="14">
                  <c:v>0.73144196961624164</c:v>
                </c:pt>
                <c:pt idx="15">
                  <c:v>0.73450694352388979</c:v>
                </c:pt>
                <c:pt idx="16">
                  <c:v>0.73758059904395168</c:v>
                </c:pt>
                <c:pt idx="17">
                  <c:v>0.7360171756304098</c:v>
                </c:pt>
                <c:pt idx="18">
                  <c:v>0.73445192862737096</c:v>
                </c:pt>
                <c:pt idx="19">
                  <c:v>0.73288485289789462</c:v>
                </c:pt>
                <c:pt idx="20">
                  <c:v>0.73464523381049529</c:v>
                </c:pt>
                <c:pt idx="21">
                  <c:v>0.7377349495589719</c:v>
                </c:pt>
                <c:pt idx="22">
                  <c:v>0.73611517872552878</c:v>
                </c:pt>
                <c:pt idx="23">
                  <c:v>0.73452251876852592</c:v>
                </c:pt>
                <c:pt idx="24">
                  <c:v>0.73629351623140726</c:v>
                </c:pt>
                <c:pt idx="25">
                  <c:v>0.73466842634809171</c:v>
                </c:pt>
                <c:pt idx="26">
                  <c:v>0.73777407621031033</c:v>
                </c:pt>
                <c:pt idx="27">
                  <c:v>0.7361946730540333</c:v>
                </c:pt>
                <c:pt idx="28">
                  <c:v>0.73930840432441536</c:v>
                </c:pt>
                <c:pt idx="29">
                  <c:v>0.73770669963797386</c:v>
                </c:pt>
                <c:pt idx="30">
                  <c:v>0.7394969206694586</c:v>
                </c:pt>
                <c:pt idx="31">
                  <c:v>0.74129072219476255</c:v>
                </c:pt>
                <c:pt idx="32">
                  <c:v>0.73968421304740228</c:v>
                </c:pt>
                <c:pt idx="33">
                  <c:v>0.7380464972924875</c:v>
                </c:pt>
                <c:pt idx="34">
                  <c:v>0.73640669510075096</c:v>
                </c:pt>
                <c:pt idx="35">
                  <c:v>0.73820016501465457</c:v>
                </c:pt>
                <c:pt idx="36">
                  <c:v>0.73999723280273721</c:v>
                </c:pt>
                <c:pt idx="37">
                  <c:v>0.73840122341017844</c:v>
                </c:pt>
                <c:pt idx="38">
                  <c:v>0.73675471540197324</c:v>
                </c:pt>
                <c:pt idx="39">
                  <c:v>0.7351351023351993</c:v>
                </c:pt>
                <c:pt idx="40">
                  <c:v>0.73348435977670723</c:v>
                </c:pt>
                <c:pt idx="41">
                  <c:v>0.7318802421865257</c:v>
                </c:pt>
                <c:pt idx="42">
                  <c:v>0.73367396140420138</c:v>
                </c:pt>
                <c:pt idx="43">
                  <c:v>0.73547128763061598</c:v>
                </c:pt>
                <c:pt idx="44">
                  <c:v>0.73386223773259185</c:v>
                </c:pt>
                <c:pt idx="45">
                  <c:v>0.73223161559628758</c:v>
                </c:pt>
                <c:pt idx="46">
                  <c:v>0.73402958322574963</c:v>
                </c:pt>
                <c:pt idx="47">
                  <c:v>0.73721318309874762</c:v>
                </c:pt>
                <c:pt idx="48">
                  <c:v>0.73902501340776516</c:v>
                </c:pt>
                <c:pt idx="49">
                  <c:v>0.74222839292958409</c:v>
                </c:pt>
                <c:pt idx="50">
                  <c:v>0.74061068552159204</c:v>
                </c:pt>
                <c:pt idx="51">
                  <c:v>0.73899102684403728</c:v>
                </c:pt>
                <c:pt idx="52">
                  <c:v>0.74081382448800781</c:v>
                </c:pt>
                <c:pt idx="53">
                  <c:v>0.73914184686125706</c:v>
                </c:pt>
                <c:pt idx="54">
                  <c:v>0.74236254394024759</c:v>
                </c:pt>
                <c:pt idx="55">
                  <c:v>0.74071652677237088</c:v>
                </c:pt>
                <c:pt idx="56">
                  <c:v>0.74255070864138162</c:v>
                </c:pt>
                <c:pt idx="57">
                  <c:v>0.7409011238470562</c:v>
                </c:pt>
                <c:pt idx="58">
                  <c:v>0.74273755989811563</c:v>
                </c:pt>
                <c:pt idx="59">
                  <c:v>0.74105541410378561</c:v>
                </c:pt>
                <c:pt idx="60">
                  <c:v>0.73937106976582156</c:v>
                </c:pt>
                <c:pt idx="61">
                  <c:v>0.73768451960133663</c:v>
                </c:pt>
                <c:pt idx="62">
                  <c:v>0.73599575629037062</c:v>
                </c:pt>
                <c:pt idx="63">
                  <c:v>0.73435352528492281</c:v>
                </c:pt>
                <c:pt idx="64">
                  <c:v>0.73270927701294952</c:v>
                </c:pt>
                <c:pt idx="65">
                  <c:v>0.73595319802338366</c:v>
                </c:pt>
                <c:pt idx="66">
                  <c:v>0.73428608064850531</c:v>
                </c:pt>
                <c:pt idx="67">
                  <c:v>0.73612692462430918</c:v>
                </c:pt>
                <c:pt idx="68">
                  <c:v>0.73797157048847362</c:v>
                </c:pt>
                <c:pt idx="69">
                  <c:v>0.73631917160955118</c:v>
                </c:pt>
                <c:pt idx="70">
                  <c:v>0.73816604014832854</c:v>
                </c:pt>
                <c:pt idx="71">
                  <c:v>0.73651000272436185</c:v>
                </c:pt>
                <c:pt idx="72">
                  <c:v>0.73979321509178753</c:v>
                </c:pt>
                <c:pt idx="73">
                  <c:v>0.73811419817358892</c:v>
                </c:pt>
                <c:pt idx="74">
                  <c:v>0.74140658869071141</c:v>
                </c:pt>
                <c:pt idx="75">
                  <c:v>0.7396949975184508</c:v>
                </c:pt>
                <c:pt idx="76">
                  <c:v>0.7379811287634348</c:v>
                </c:pt>
                <c:pt idx="77">
                  <c:v>0.73626497474548591</c:v>
                </c:pt>
                <c:pt idx="78">
                  <c:v>0.73956444199041427</c:v>
                </c:pt>
                <c:pt idx="79">
                  <c:v>0.74144050790773031</c:v>
                </c:pt>
                <c:pt idx="80">
                  <c:v>0.73974895482105008</c:v>
                </c:pt>
                <c:pt idx="81">
                  <c:v>0.73802579159580839</c:v>
                </c:pt>
                <c:pt idx="82">
                  <c:v>0.73630031827862064</c:v>
                </c:pt>
                <c:pt idx="83">
                  <c:v>0.73457252702335118</c:v>
                </c:pt>
                <c:pt idx="84">
                  <c:v>0.73287181235012022</c:v>
                </c:pt>
                <c:pt idx="85">
                  <c:v>0.7311393516124397</c:v>
                </c:pt>
                <c:pt idx="86">
                  <c:v>0.72943407748134748</c:v>
                </c:pt>
                <c:pt idx="87">
                  <c:v>0.72769691558068239</c:v>
                </c:pt>
                <c:pt idx="88">
                  <c:v>0.73100948902893459</c:v>
                </c:pt>
                <c:pt idx="89">
                  <c:v>0.73433232782868851</c:v>
                </c:pt>
                <c:pt idx="90">
                  <c:v>0.73262050746261642</c:v>
                </c:pt>
                <c:pt idx="91">
                  <c:v>0.7359526640523445</c:v>
                </c:pt>
                <c:pt idx="92">
                  <c:v>0.73423761791841224</c:v>
                </c:pt>
                <c:pt idx="93">
                  <c:v>0.73757911905394213</c:v>
                </c:pt>
                <c:pt idx="94">
                  <c:v>0.74093099469340495</c:v>
                </c:pt>
                <c:pt idx="95">
                  <c:v>0.73921170524219959</c:v>
                </c:pt>
                <c:pt idx="96">
                  <c:v>0.74113135777747796</c:v>
                </c:pt>
                <c:pt idx="97">
                  <c:v>0.74450416838542111</c:v>
                </c:pt>
                <c:pt idx="98">
                  <c:v>0.74274971243536247</c:v>
                </c:pt>
                <c:pt idx="99">
                  <c:v>0.74468362757404349</c:v>
                </c:pt>
                <c:pt idx="100">
                  <c:v>0.74295538063552746</c:v>
                </c:pt>
                <c:pt idx="101">
                  <c:v>0.74489181593271547</c:v>
                </c:pt>
                <c:pt idx="102">
                  <c:v>0.74318033379253146</c:v>
                </c:pt>
                <c:pt idx="103">
                  <c:v>0.74146666789352089</c:v>
                </c:pt>
                <c:pt idx="104">
                  <c:v>0.74486935742931704</c:v>
                </c:pt>
                <c:pt idx="105">
                  <c:v>0.74828281191724078</c:v>
                </c:pt>
                <c:pt idx="106">
                  <c:v>0.74651361724452259</c:v>
                </c:pt>
                <c:pt idx="107">
                  <c:v>0.74847294753556137</c:v>
                </c:pt>
                <c:pt idx="108">
                  <c:v>0.74675098392766581</c:v>
                </c:pt>
                <c:pt idx="109">
                  <c:v>0.75018509385630905</c:v>
                </c:pt>
                <c:pt idx="110">
                  <c:v>0.75215896015150707</c:v>
                </c:pt>
                <c:pt idx="111">
                  <c:v>0.75561610946528657</c:v>
                </c:pt>
                <c:pt idx="112">
                  <c:v>0.75908435203118552</c:v>
                </c:pt>
                <c:pt idx="113">
                  <c:v>0.7573554493931216</c:v>
                </c:pt>
                <c:pt idx="114">
                  <c:v>0.75562433171053944</c:v>
                </c:pt>
                <c:pt idx="115">
                  <c:v>0.75910168768900821</c:v>
                </c:pt>
                <c:pt idx="116">
                  <c:v>0.7573460529763969</c:v>
                </c:pt>
                <c:pt idx="117">
                  <c:v>0.76083348529856842</c:v>
                </c:pt>
                <c:pt idx="118">
                  <c:v>0.76433211868086459</c:v>
                </c:pt>
                <c:pt idx="119">
                  <c:v>0.76254082130011502</c:v>
                </c:pt>
                <c:pt idx="120">
                  <c:v>0.76074705232164119</c:v>
                </c:pt>
                <c:pt idx="121">
                  <c:v>0.75895080307525153</c:v>
                </c:pt>
                <c:pt idx="122">
                  <c:v>0.7571831760054647</c:v>
                </c:pt>
                <c:pt idx="123">
                  <c:v>0.7554131879491397</c:v>
                </c:pt>
                <c:pt idx="124">
                  <c:v>0.75891731425942499</c:v>
                </c:pt>
                <c:pt idx="125">
                  <c:v>0.75711236938114279</c:v>
                </c:pt>
                <c:pt idx="126">
                  <c:v>0.75533638066312081</c:v>
                </c:pt>
                <c:pt idx="127">
                  <c:v>0.7535796846099182</c:v>
                </c:pt>
                <c:pt idx="128">
                  <c:v>0.75709170993176811</c:v>
                </c:pt>
                <c:pt idx="129">
                  <c:v>0.75913873837702961</c:v>
                </c:pt>
                <c:pt idx="130">
                  <c:v>0.76267489928384824</c:v>
                </c:pt>
                <c:pt idx="131">
                  <c:v>0.76473950502897314</c:v>
                </c:pt>
                <c:pt idx="132">
                  <c:v>0.76292148309228314</c:v>
                </c:pt>
                <c:pt idx="133">
                  <c:v>0.76498925215589542</c:v>
                </c:pt>
                <c:pt idx="134">
                  <c:v>0.76316712613772963</c:v>
                </c:pt>
                <c:pt idx="135">
                  <c:v>0.7613954176051333</c:v>
                </c:pt>
                <c:pt idx="136">
                  <c:v>0.76346450687297873</c:v>
                </c:pt>
                <c:pt idx="137">
                  <c:v>0.76704785737542036</c:v>
                </c:pt>
                <c:pt idx="138">
                  <c:v>0.76521779957242853</c:v>
                </c:pt>
                <c:pt idx="139">
                  <c:v>0.76881170871216875</c:v>
                </c:pt>
                <c:pt idx="140">
                  <c:v>0.76700918184284983</c:v>
                </c:pt>
                <c:pt idx="141">
                  <c:v>0.7651727110664307</c:v>
                </c:pt>
                <c:pt idx="142">
                  <c:v>0.76726805521579344</c:v>
                </c:pt>
                <c:pt idx="143">
                  <c:v>0.7654273975220226</c:v>
                </c:pt>
                <c:pt idx="144">
                  <c:v>0.7690428920796456</c:v>
                </c:pt>
                <c:pt idx="145">
                  <c:v>0.76725163554062592</c:v>
                </c:pt>
                <c:pt idx="146">
                  <c:v>0.76540448936355254</c:v>
                </c:pt>
                <c:pt idx="147">
                  <c:v>0.76751306255435603</c:v>
                </c:pt>
                <c:pt idx="148">
                  <c:v>0.76569293403462935</c:v>
                </c:pt>
                <c:pt idx="149">
                  <c:v>0.76389231544990799</c:v>
                </c:pt>
                <c:pt idx="150">
                  <c:v>0.76206723313133362</c:v>
                </c:pt>
                <c:pt idx="151">
                  <c:v>0.76020786861901402</c:v>
                </c:pt>
                <c:pt idx="152">
                  <c:v>0.76384179145158304</c:v>
                </c:pt>
                <c:pt idx="153">
                  <c:v>0.76748780391474158</c:v>
                </c:pt>
                <c:pt idx="154">
                  <c:v>0.76962140473853713</c:v>
                </c:pt>
                <c:pt idx="155">
                  <c:v>0.7732934324366515</c:v>
                </c:pt>
                <c:pt idx="156">
                  <c:v>0.77147996268672026</c:v>
                </c:pt>
                <c:pt idx="157">
                  <c:v>0.77516315802275382</c:v>
                </c:pt>
                <c:pt idx="158">
                  <c:v>0.77732784344105943</c:v>
                </c:pt>
                <c:pt idx="159">
                  <c:v>0.77545468858138455</c:v>
                </c:pt>
                <c:pt idx="160">
                  <c:v>0.77357884520641651</c:v>
                </c:pt>
                <c:pt idx="161">
                  <c:v>0.77728595432937886</c:v>
                </c:pt>
                <c:pt idx="162">
                  <c:v>0.77543791883008273</c:v>
                </c:pt>
                <c:pt idx="163">
                  <c:v>0.77355533529215281</c:v>
                </c:pt>
                <c:pt idx="164">
                  <c:v>0.77727237774461078</c:v>
                </c:pt>
                <c:pt idx="165">
                  <c:v>0.7794639172060972</c:v>
                </c:pt>
                <c:pt idx="166">
                  <c:v>0.78320801040418764</c:v>
                </c:pt>
                <c:pt idx="167">
                  <c:v>0.7813183490895188</c:v>
                </c:pt>
                <c:pt idx="168">
                  <c:v>0.78352805320583718</c:v>
                </c:pt>
                <c:pt idx="169">
                  <c:v>0.78729822615489742</c:v>
                </c:pt>
                <c:pt idx="170">
                  <c:v>0.78545708970590145</c:v>
                </c:pt>
                <c:pt idx="171">
                  <c:v>0.78768491597670243</c:v>
                </c:pt>
                <c:pt idx="172">
                  <c:v>0.78583926891557632</c:v>
                </c:pt>
                <c:pt idx="173">
                  <c:v>0.78396841797766237</c:v>
                </c:pt>
                <c:pt idx="174">
                  <c:v>0.78619768327037176</c:v>
                </c:pt>
                <c:pt idx="175">
                  <c:v>0.78434492967171754</c:v>
                </c:pt>
                <c:pt idx="176">
                  <c:v>0.78243491918637298</c:v>
                </c:pt>
                <c:pt idx="177">
                  <c:v>0.78052212131174703</c:v>
                </c:pt>
                <c:pt idx="178">
                  <c:v>0.77863846542005322</c:v>
                </c:pt>
                <c:pt idx="179">
                  <c:v>0.78086566966782411</c:v>
                </c:pt>
                <c:pt idx="180">
                  <c:v>0.78309833958943931</c:v>
                </c:pt>
                <c:pt idx="181">
                  <c:v>0.78533650139314326</c:v>
                </c:pt>
                <c:pt idx="182">
                  <c:v>0.78344414753789915</c:v>
                </c:pt>
                <c:pt idx="183">
                  <c:v>0.78568580118044162</c:v>
                </c:pt>
                <c:pt idx="184">
                  <c:v>0.78375751474095368</c:v>
                </c:pt>
                <c:pt idx="185">
                  <c:v>0.78188022191880291</c:v>
                </c:pt>
                <c:pt idx="186">
                  <c:v>0.7799462244788532</c:v>
                </c:pt>
                <c:pt idx="187">
                  <c:v>0.77800936622525585</c:v>
                </c:pt>
                <c:pt idx="188">
                  <c:v>0.77612370818999465</c:v>
                </c:pt>
                <c:pt idx="189">
                  <c:v>0.7741810748156811</c:v>
                </c:pt>
                <c:pt idx="190">
                  <c:v>0.77226712765049443</c:v>
                </c:pt>
                <c:pt idx="191">
                  <c:v>0.7703732307855734</c:v>
                </c:pt>
                <c:pt idx="192">
                  <c:v>0.76842184517832324</c:v>
                </c:pt>
                <c:pt idx="193">
                  <c:v>0.77227268724644837</c:v>
                </c:pt>
                <c:pt idx="194">
                  <c:v>0.77031696471476074</c:v>
                </c:pt>
                <c:pt idx="195">
                  <c:v>0.76839031691985893</c:v>
                </c:pt>
                <c:pt idx="196">
                  <c:v>0.770631515241333</c:v>
                </c:pt>
                <c:pt idx="197">
                  <c:v>0.76866807654806746</c:v>
                </c:pt>
                <c:pt idx="198">
                  <c:v>0.7709130151552831</c:v>
                </c:pt>
                <c:pt idx="199">
                  <c:v>0.77480405105650807</c:v>
                </c:pt>
                <c:pt idx="200">
                  <c:v>0.77283439405401799</c:v>
                </c:pt>
                <c:pt idx="201">
                  <c:v>0.7709164032368675</c:v>
                </c:pt>
                <c:pt idx="202">
                  <c:v>0.7731783735742177</c:v>
                </c:pt>
                <c:pt idx="203">
                  <c:v>0.77709627527772385</c:v>
                </c:pt>
                <c:pt idx="204">
                  <c:v>0.77517210103803502</c:v>
                </c:pt>
                <c:pt idx="205">
                  <c:v>0.77324519644602896</c:v>
                </c:pt>
                <c:pt idx="206">
                  <c:v>0.77131555203932678</c:v>
                </c:pt>
                <c:pt idx="207">
                  <c:v>0.76938315830833182</c:v>
                </c:pt>
                <c:pt idx="208">
                  <c:v>0.76739205833717994</c:v>
                </c:pt>
                <c:pt idx="209">
                  <c:v>0.76539790992231871</c:v>
                </c:pt>
                <c:pt idx="210">
                  <c:v>0.76340070118880299</c:v>
                </c:pt>
                <c:pt idx="211">
                  <c:v>0.76732320338138371</c:v>
                </c:pt>
                <c:pt idx="212">
                  <c:v>0.77125987346586977</c:v>
                </c:pt>
                <c:pt idx="213">
                  <c:v>0.77521077241385838</c:v>
                </c:pt>
                <c:pt idx="214">
                  <c:v>0.77323887025053006</c:v>
                </c:pt>
                <c:pt idx="215">
                  <c:v>0.77720263906037768</c:v>
                </c:pt>
                <c:pt idx="216">
                  <c:v>0.77519332002895591</c:v>
                </c:pt>
                <c:pt idx="217">
                  <c:v>0.77318090643832549</c:v>
                </c:pt>
                <c:pt idx="218">
                  <c:v>0.77119842115028336</c:v>
                </c:pt>
                <c:pt idx="219">
                  <c:v>0.7692129784164129</c:v>
                </c:pt>
                <c:pt idx="220">
                  <c:v>0.77318519052910828</c:v>
                </c:pt>
                <c:pt idx="221">
                  <c:v>0.77552414134671144</c:v>
                </c:pt>
                <c:pt idx="222">
                  <c:v>0.77353208089082226</c:v>
                </c:pt>
                <c:pt idx="223">
                  <c:v>0.7715609581831111</c:v>
                </c:pt>
                <c:pt idx="224">
                  <c:v>0.76952935581178605</c:v>
                </c:pt>
                <c:pt idx="225">
                  <c:v>0.76755217397683762</c:v>
                </c:pt>
                <c:pt idx="226">
                  <c:v>0.76551419564526402</c:v>
                </c:pt>
                <c:pt idx="227">
                  <c:v>0.76347302083468149</c:v>
                </c:pt>
                <c:pt idx="228">
                  <c:v>0.76146244223119219</c:v>
                </c:pt>
                <c:pt idx="229">
                  <c:v>0.75944881000924724</c:v>
                </c:pt>
                <c:pt idx="230">
                  <c:v>0.75745628774467466</c:v>
                </c:pt>
                <c:pt idx="231">
                  <c:v>0.75540214119457372</c:v>
                </c:pt>
                <c:pt idx="232">
                  <c:v>0.75340339354890129</c:v>
                </c:pt>
                <c:pt idx="233">
                  <c:v>0.75572455178650277</c:v>
                </c:pt>
                <c:pt idx="234">
                  <c:v>0.75372049409042208</c:v>
                </c:pt>
                <c:pt idx="235">
                  <c:v>0.75772290722036928</c:v>
                </c:pt>
                <c:pt idx="236">
                  <c:v>0.75571450608016644</c:v>
                </c:pt>
                <c:pt idx="237">
                  <c:v>0.75973013776052223</c:v>
                </c:pt>
                <c:pt idx="238">
                  <c:v>0.76376040603250139</c:v>
                </c:pt>
                <c:pt idx="239">
                  <c:v>0.76780536892530415</c:v>
                </c:pt>
                <c:pt idx="240">
                  <c:v>0.77019531896255211</c:v>
                </c:pt>
                <c:pt idx="241">
                  <c:v>0.7681773823760264</c:v>
                </c:pt>
                <c:pt idx="242">
                  <c:v>0.76615643889851026</c:v>
                </c:pt>
                <c:pt idx="243">
                  <c:v>0.76854788043745959</c:v>
                </c:pt>
                <c:pt idx="244">
                  <c:v>0.76646156865081172</c:v>
                </c:pt>
                <c:pt idx="245">
                  <c:v>0.76440702409445238</c:v>
                </c:pt>
                <c:pt idx="246">
                  <c:v>0.76237415724241653</c:v>
                </c:pt>
                <c:pt idx="247">
                  <c:v>0.76031329272556791</c:v>
                </c:pt>
                <c:pt idx="248">
                  <c:v>0.76270184381907935</c:v>
                </c:pt>
                <c:pt idx="249">
                  <c:v>0.76059993292209926</c:v>
                </c:pt>
                <c:pt idx="250">
                  <c:v>0.75849461444186683</c:v>
                </c:pt>
                <c:pt idx="251">
                  <c:v>0.75638587433476157</c:v>
                </c:pt>
                <c:pt idx="252">
                  <c:v>0.75877451580905775</c:v>
                </c:pt>
                <c:pt idx="253">
                  <c:v>0.76289012233682452</c:v>
                </c:pt>
                <c:pt idx="254">
                  <c:v>0.76702115495939638</c:v>
                </c:pt>
                <c:pt idx="255">
                  <c:v>0.76493891026640792</c:v>
                </c:pt>
                <c:pt idx="256">
                  <c:v>0.76908387030505698</c:v>
                </c:pt>
                <c:pt idx="257">
                  <c:v>0.77324436904597704</c:v>
                </c:pt>
                <c:pt idx="258">
                  <c:v>0.77112004297696235</c:v>
                </c:pt>
                <c:pt idx="259">
                  <c:v>0.76899225129315452</c:v>
                </c:pt>
                <c:pt idx="260">
                  <c:v>0.76689660992615993</c:v>
                </c:pt>
                <c:pt idx="261">
                  <c:v>0.7648230347197299</c:v>
                </c:pt>
                <c:pt idx="262">
                  <c:v>0.76272082328729074</c:v>
                </c:pt>
                <c:pt idx="263">
                  <c:v>0.76061527625689429</c:v>
                </c:pt>
                <c:pt idx="264">
                  <c:v>0.76306508700465192</c:v>
                </c:pt>
                <c:pt idx="265">
                  <c:v>0.76552152958910613</c:v>
                </c:pt>
                <c:pt idx="266">
                  <c:v>0.76340767594214654</c:v>
                </c:pt>
                <c:pt idx="267">
                  <c:v>0.76129044963678105</c:v>
                </c:pt>
                <c:pt idx="268">
                  <c:v>0.7591698372489657</c:v>
                </c:pt>
                <c:pt idx="269">
                  <c:v>0.76336814996612368</c:v>
                </c:pt>
                <c:pt idx="270">
                  <c:v>0.76584220018704385</c:v>
                </c:pt>
                <c:pt idx="271">
                  <c:v>0.76371406558180288</c:v>
                </c:pt>
                <c:pt idx="272">
                  <c:v>0.76154602387428638</c:v>
                </c:pt>
                <c:pt idx="273">
                  <c:v>0.75937435778974338</c:v>
                </c:pt>
                <c:pt idx="274">
                  <c:v>0.76360215250094032</c:v>
                </c:pt>
                <c:pt idx="275">
                  <c:v>0.7678460954441374</c:v>
                </c:pt>
                <c:pt idx="276">
                  <c:v>0.76572989999134511</c:v>
                </c:pt>
                <c:pt idx="277">
                  <c:v>0.76361039389727881</c:v>
                </c:pt>
                <c:pt idx="278">
                  <c:v>0.7614875645599094</c:v>
                </c:pt>
                <c:pt idx="279">
                  <c:v>0.76574306293520977</c:v>
                </c:pt>
                <c:pt idx="280">
                  <c:v>0.77001479251834637</c:v>
                </c:pt>
                <c:pt idx="281">
                  <c:v>0.77430281437836201</c:v>
                </c:pt>
                <c:pt idx="282">
                  <c:v>0.77210763987410203</c:v>
                </c:pt>
                <c:pt idx="283">
                  <c:v>0.7764102047960828</c:v>
                </c:pt>
                <c:pt idx="284">
                  <c:v>0.77420952255267761</c:v>
                </c:pt>
                <c:pt idx="285">
                  <c:v>0.77206960792896195</c:v>
                </c:pt>
                <c:pt idx="286">
                  <c:v>0.76992631963739389</c:v>
                </c:pt>
                <c:pt idx="287">
                  <c:v>0.76777964474076965</c:v>
                </c:pt>
                <c:pt idx="288">
                  <c:v>0.7656026915126638</c:v>
                </c:pt>
                <c:pt idx="289">
                  <c:v>0.76342216789360595</c:v>
                </c:pt>
                <c:pt idx="290">
                  <c:v>0.76598539219833994</c:v>
                </c:pt>
                <c:pt idx="291">
                  <c:v>0.76855585356388689</c:v>
                </c:pt>
                <c:pt idx="292">
                  <c:v>0.77113359201243781</c:v>
                </c:pt>
                <c:pt idx="293">
                  <c:v>0.76894147664413848</c:v>
                </c:pt>
                <c:pt idx="294">
                  <c:v>0.76674574399389472</c:v>
                </c:pt>
                <c:pt idx="295">
                  <c:v>0.76932541345959582</c:v>
                </c:pt>
                <c:pt idx="296">
                  <c:v>0.7719124194430117</c:v>
                </c:pt>
                <c:pt idx="297">
                  <c:v>0.77631821926097799</c:v>
                </c:pt>
                <c:pt idx="298">
                  <c:v>0.77893298025838309</c:v>
                </c:pt>
                <c:pt idx="299">
                  <c:v>0.7833768574936476</c:v>
                </c:pt>
                <c:pt idx="300">
                  <c:v>0.78112799290449597</c:v>
                </c:pt>
                <c:pt idx="301">
                  <c:v>0.77891302212727642</c:v>
                </c:pt>
                <c:pt idx="302">
                  <c:v>0.78155086105179861</c:v>
                </c:pt>
                <c:pt idx="303">
                  <c:v>0.77932944258386572</c:v>
                </c:pt>
                <c:pt idx="304">
                  <c:v>0.77710432287004505</c:v>
                </c:pt>
                <c:pt idx="305">
                  <c:v>0.77487548648913018</c:v>
                </c:pt>
                <c:pt idx="306">
                  <c:v>0.77260458807305121</c:v>
                </c:pt>
                <c:pt idx="307">
                  <c:v>0.77039516384877049</c:v>
                </c:pt>
                <c:pt idx="308">
                  <c:v>0.77302697999237102</c:v>
                </c:pt>
                <c:pt idx="309">
                  <c:v>0.77081106465300864</c:v>
                </c:pt>
                <c:pt idx="310">
                  <c:v>0.76859152571798117</c:v>
                </c:pt>
                <c:pt idx="311">
                  <c:v>0.76636834875541193</c:v>
                </c:pt>
                <c:pt idx="312">
                  <c:v>0.76411410343390629</c:v>
                </c:pt>
                <c:pt idx="313">
                  <c:v>0.76859787145517278</c:v>
                </c:pt>
                <c:pt idx="314">
                  <c:v>0.76633796583616831</c:v>
                </c:pt>
                <c:pt idx="315">
                  <c:v>0.76407421151622235</c:v>
                </c:pt>
                <c:pt idx="316">
                  <c:v>0.76183434593596777</c:v>
                </c:pt>
                <c:pt idx="317">
                  <c:v>0.75956291946539989</c:v>
                </c:pt>
                <c:pt idx="318">
                  <c:v>0.75731551953704679</c:v>
                </c:pt>
                <c:pt idx="319">
                  <c:v>0.76180844883653354</c:v>
                </c:pt>
                <c:pt idx="320">
                  <c:v>0.76446410842817647</c:v>
                </c:pt>
                <c:pt idx="321">
                  <c:v>0.76220826023987132</c:v>
                </c:pt>
                <c:pt idx="322">
                  <c:v>0.76673905667835107</c:v>
                </c:pt>
                <c:pt idx="323">
                  <c:v>0.76942110226718263</c:v>
                </c:pt>
                <c:pt idx="324">
                  <c:v>0.76708780237051466</c:v>
                </c:pt>
                <c:pt idx="325">
                  <c:v>0.76481921481943682</c:v>
                </c:pt>
                <c:pt idx="326">
                  <c:v>0.7625468248432089</c:v>
                </c:pt>
                <c:pt idx="327">
                  <c:v>0.76020085588492026</c:v>
                </c:pt>
                <c:pt idx="328">
                  <c:v>0.75785063920128559</c:v>
                </c:pt>
                <c:pt idx="329">
                  <c:v>0.75556587759692806</c:v>
                </c:pt>
                <c:pt idx="330">
                  <c:v>0.75320708729868868</c:v>
                </c:pt>
                <c:pt idx="331">
                  <c:v>0.75088563816554765</c:v>
                </c:pt>
                <c:pt idx="332">
                  <c:v>0.7535531552358008</c:v>
                </c:pt>
                <c:pt idx="333">
                  <c:v>0.75622856202048716</c:v>
                </c:pt>
                <c:pt idx="334">
                  <c:v>0.75891190431201372</c:v>
                </c:pt>
                <c:pt idx="335">
                  <c:v>0.75657733493287127</c:v>
                </c:pt>
                <c:pt idx="336">
                  <c:v>0.75419765462955279</c:v>
                </c:pt>
                <c:pt idx="337">
                  <c:v>0.7588153972923839</c:v>
                </c:pt>
                <c:pt idx="338">
                  <c:v>0.75642928179391544</c:v>
                </c:pt>
                <c:pt idx="339">
                  <c:v>0.75410834593447584</c:v>
                </c:pt>
                <c:pt idx="340">
                  <c:v>0.75681036038279847</c:v>
                </c:pt>
                <c:pt idx="341">
                  <c:v>0.75441272548013938</c:v>
                </c:pt>
                <c:pt idx="342">
                  <c:v>0.75906628503250917</c:v>
                </c:pt>
                <c:pt idx="343">
                  <c:v>0.75673187897332883</c:v>
                </c:pt>
                <c:pt idx="344">
                  <c:v>0.75436467388775552</c:v>
                </c:pt>
                <c:pt idx="345">
                  <c:v>0.75199322444406902</c:v>
                </c:pt>
                <c:pt idx="346">
                  <c:v>0.75666063434390762</c:v>
                </c:pt>
                <c:pt idx="347">
                  <c:v>0.75431198998648619</c:v>
                </c:pt>
                <c:pt idx="348">
                  <c:v>0.75705206786960588</c:v>
                </c:pt>
                <c:pt idx="349">
                  <c:v>0.7546249674930795</c:v>
                </c:pt>
                <c:pt idx="350">
                  <c:v>0.75226440702611952</c:v>
                </c:pt>
                <c:pt idx="351">
                  <c:v>0.74987053947475468</c:v>
                </c:pt>
                <c:pt idx="352">
                  <c:v>0.75457278861968813</c:v>
                </c:pt>
                <c:pt idx="353">
                  <c:v>0.75929501715657666</c:v>
                </c:pt>
                <c:pt idx="354">
                  <c:v>0.75684983503921266</c:v>
                </c:pt>
                <c:pt idx="355">
                  <c:v>0.7615899478764997</c:v>
                </c:pt>
                <c:pt idx="356">
                  <c:v>0.7663501930418366</c:v>
                </c:pt>
                <c:pt idx="357">
                  <c:v>0.7639689544788727</c:v>
                </c:pt>
                <c:pt idx="358">
                  <c:v>0.76679625362299442</c:v>
                </c:pt>
                <c:pt idx="359">
                  <c:v>0.76433456039602932</c:v>
                </c:pt>
                <c:pt idx="360">
                  <c:v>0.76194108978776653</c:v>
                </c:pt>
                <c:pt idx="361">
                  <c:v>0.76477098950810551</c:v>
                </c:pt>
                <c:pt idx="362">
                  <c:v>0.76236990160421603</c:v>
                </c:pt>
                <c:pt idx="363">
                  <c:v>0.75996454863665186</c:v>
                </c:pt>
                <c:pt idx="364">
                  <c:v>0.7647835322123826</c:v>
                </c:pt>
                <c:pt idx="365">
                  <c:v>0.7676399699150882</c:v>
                </c:pt>
                <c:pt idx="366">
                  <c:v>0.7651513654633717</c:v>
                </c:pt>
                <c:pt idx="367">
                  <c:v>0.76265798963983944</c:v>
                </c:pt>
                <c:pt idx="368">
                  <c:v>0.76551760204423014</c:v>
                </c:pt>
                <c:pt idx="369">
                  <c:v>0.77040251418692551</c:v>
                </c:pt>
                <c:pt idx="370">
                  <c:v>0.76794224883912121</c:v>
                </c:pt>
                <c:pt idx="371">
                  <c:v>0.76550763427680768</c:v>
                </c:pt>
                <c:pt idx="372">
                  <c:v>0.7704097767738638</c:v>
                </c:pt>
                <c:pt idx="373">
                  <c:v>0.77332193347898726</c:v>
                </c:pt>
                <c:pt idx="374">
                  <c:v>0.77087737117248345</c:v>
                </c:pt>
                <c:pt idx="375">
                  <c:v>0.76835403860367835</c:v>
                </c:pt>
                <c:pt idx="376">
                  <c:v>0.76586966190399397</c:v>
                </c:pt>
                <c:pt idx="377">
                  <c:v>0.76333648131460308</c:v>
                </c:pt>
                <c:pt idx="378">
                  <c:v>0.76624498064751145</c:v>
                </c:pt>
                <c:pt idx="379">
                  <c:v>0.76377798108783745</c:v>
                </c:pt>
                <c:pt idx="380">
                  <c:v>0.76669223992096169</c:v>
                </c:pt>
                <c:pt idx="381">
                  <c:v>0.76421714368799309</c:v>
                </c:pt>
                <c:pt idx="382">
                  <c:v>0.76920485906906599</c:v>
                </c:pt>
                <c:pt idx="383">
                  <c:v>0.76669237157095316</c:v>
                </c:pt>
                <c:pt idx="384">
                  <c:v>0.77170028007138947</c:v>
                </c:pt>
                <c:pt idx="385">
                  <c:v>0.77673074165071054</c:v>
                </c:pt>
                <c:pt idx="386">
                  <c:v>0.77972629587835762</c:v>
                </c:pt>
                <c:pt idx="387">
                  <c:v>0.77720088968851875</c:v>
                </c:pt>
                <c:pt idx="388">
                  <c:v>0.77470182700483059</c:v>
                </c:pt>
                <c:pt idx="389">
                  <c:v>0.77219816597775603</c:v>
                </c:pt>
                <c:pt idx="390">
                  <c:v>0.76961314088862365</c:v>
                </c:pt>
                <c:pt idx="391">
                  <c:v>0.76709969507106779</c:v>
                </c:pt>
                <c:pt idx="392">
                  <c:v>0.77008722491683945</c:v>
                </c:pt>
                <c:pt idx="393">
                  <c:v>0.77518308912611866</c:v>
                </c:pt>
                <c:pt idx="394">
                  <c:v>0.78030229893981018</c:v>
                </c:pt>
                <c:pt idx="395">
                  <c:v>0.78544496144384435</c:v>
                </c:pt>
                <c:pt idx="396">
                  <c:v>0.7828845693226697</c:v>
                </c:pt>
                <c:pt idx="397">
                  <c:v>0.78035121749095071</c:v>
                </c:pt>
                <c:pt idx="398">
                  <c:v>0.7834240110359374</c:v>
                </c:pt>
                <c:pt idx="399">
                  <c:v>0.78085015111188183</c:v>
                </c:pt>
                <c:pt idx="400">
                  <c:v>0.77822501396221744</c:v>
                </c:pt>
                <c:pt idx="401">
                  <c:v>0.78130116204173039</c:v>
                </c:pt>
                <c:pt idx="402">
                  <c:v>0.78438771305728261</c:v>
                </c:pt>
                <c:pt idx="403">
                  <c:v>0.78748473578234424</c:v>
                </c:pt>
                <c:pt idx="404">
                  <c:v>0.79275553398090004</c:v>
                </c:pt>
                <c:pt idx="405">
                  <c:v>0.79589211192305975</c:v>
                </c:pt>
                <c:pt idx="406">
                  <c:v>0.79332210354471344</c:v>
                </c:pt>
                <c:pt idx="407">
                  <c:v>0.79646550973512908</c:v>
                </c:pt>
                <c:pt idx="408">
                  <c:v>0.80181801301535516</c:v>
                </c:pt>
                <c:pt idx="409">
                  <c:v>0.80500201627260282</c:v>
                </c:pt>
                <c:pt idx="410">
                  <c:v>0.80234086005775129</c:v>
                </c:pt>
                <c:pt idx="411">
                  <c:v>0.7996743301710395</c:v>
                </c:pt>
                <c:pt idx="412">
                  <c:v>0.80507747412962238</c:v>
                </c:pt>
                <c:pt idx="413">
                  <c:v>0.8024789342795402</c:v>
                </c:pt>
                <c:pt idx="414">
                  <c:v>0.79987547038372087</c:v>
                </c:pt>
                <c:pt idx="415">
                  <c:v>0.79723477536011156</c:v>
                </c:pt>
                <c:pt idx="416">
                  <c:v>0.80265682204727329</c:v>
                </c:pt>
                <c:pt idx="417">
                  <c:v>0.80589397838318855</c:v>
                </c:pt>
                <c:pt idx="418">
                  <c:v>0.81137371636532019</c:v>
                </c:pt>
                <c:pt idx="419">
                  <c:v>0.80871847213083337</c:v>
                </c:pt>
                <c:pt idx="420">
                  <c:v>0.8142226233940596</c:v>
                </c:pt>
                <c:pt idx="421">
                  <c:v>0.81975402570302003</c:v>
                </c:pt>
                <c:pt idx="422">
                  <c:v>0.81708806016452173</c:v>
                </c:pt>
                <c:pt idx="423">
                  <c:v>0.81445000880107055</c:v>
                </c:pt>
                <c:pt idx="424">
                  <c:v>0.81778152750910582</c:v>
                </c:pt>
                <c:pt idx="425">
                  <c:v>0.81510101313680505</c:v>
                </c:pt>
                <c:pt idx="426">
                  <c:v>0.81236881973252073</c:v>
                </c:pt>
                <c:pt idx="427">
                  <c:v>0.80971059418407765</c:v>
                </c:pt>
                <c:pt idx="428">
                  <c:v>0.80696704381538242</c:v>
                </c:pt>
                <c:pt idx="429">
                  <c:v>0.80429794125767751</c:v>
                </c:pt>
                <c:pt idx="430">
                  <c:v>0.80762156394111262</c:v>
                </c:pt>
                <c:pt idx="431">
                  <c:v>0.81095725209612401</c:v>
                </c:pt>
                <c:pt idx="432">
                  <c:v>0.81659489101224692</c:v>
                </c:pt>
                <c:pt idx="433">
                  <c:v>0.81382950895158623</c:v>
                </c:pt>
                <c:pt idx="434">
                  <c:v>0.81113808699248302</c:v>
                </c:pt>
                <c:pt idx="435">
                  <c:v>0.81451098367325703</c:v>
                </c:pt>
                <c:pt idx="436">
                  <c:v>0.81177638968096966</c:v>
                </c:pt>
                <c:pt idx="437">
                  <c:v>0.81515739494008588</c:v>
                </c:pt>
                <c:pt idx="438">
                  <c:v>0.81241294692381338</c:v>
                </c:pt>
                <c:pt idx="439">
                  <c:v>0.80969652469370745</c:v>
                </c:pt>
                <c:pt idx="440">
                  <c:v>0.81308120492970359</c:v>
                </c:pt>
                <c:pt idx="441">
                  <c:v>0.81647840664885396</c:v>
                </c:pt>
                <c:pt idx="442">
                  <c:v>0.81374763737827482</c:v>
                </c:pt>
                <c:pt idx="443">
                  <c:v>0.81715292484337054</c:v>
                </c:pt>
                <c:pt idx="444">
                  <c:v>0.81437868104998423</c:v>
                </c:pt>
                <c:pt idx="445">
                  <c:v>0.81779220705666356</c:v>
                </c:pt>
                <c:pt idx="446">
                  <c:v>0.81496250137958148</c:v>
                </c:pt>
                <c:pt idx="447">
                  <c:v>0.82081011649235147</c:v>
                </c:pt>
                <c:pt idx="448">
                  <c:v>0.81801660929149889</c:v>
                </c:pt>
                <c:pt idx="449">
                  <c:v>0.81517153846522994</c:v>
                </c:pt>
                <c:pt idx="450">
                  <c:v>0.81239988526277518</c:v>
                </c:pt>
                <c:pt idx="451">
                  <c:v>0.80958872051811748</c:v>
                </c:pt>
                <c:pt idx="452">
                  <c:v>0.81545576961681909</c:v>
                </c:pt>
                <c:pt idx="453">
                  <c:v>0.82135450638551133</c:v>
                </c:pt>
                <c:pt idx="454">
                  <c:v>0.81856576070425324</c:v>
                </c:pt>
                <c:pt idx="455">
                  <c:v>0.81577137775274877</c:v>
                </c:pt>
                <c:pt idx="456">
                  <c:v>0.81293661964129305</c:v>
                </c:pt>
                <c:pt idx="457">
                  <c:v>0.81643305363539875</c:v>
                </c:pt>
                <c:pt idx="458">
                  <c:v>0.81362239230905198</c:v>
                </c:pt>
                <c:pt idx="459">
                  <c:v>0.81712738816719344</c:v>
                </c:pt>
                <c:pt idx="460">
                  <c:v>0.81422387845585664</c:v>
                </c:pt>
                <c:pt idx="461">
                  <c:v>0.8202119282179422</c:v>
                </c:pt>
                <c:pt idx="462">
                  <c:v>0.82376294654474203</c:v>
                </c:pt>
                <c:pt idx="463">
                  <c:v>0.82982126931191513</c:v>
                </c:pt>
                <c:pt idx="464">
                  <c:v>0.83342357176047432</c:v>
                </c:pt>
                <c:pt idx="465">
                  <c:v>0.83049857835794494</c:v>
                </c:pt>
                <c:pt idx="466">
                  <c:v>0.82764864932307602</c:v>
                </c:pt>
                <c:pt idx="467">
                  <c:v>0.82471071912204374</c:v>
                </c:pt>
                <c:pt idx="468">
                  <c:v>0.82184836608019773</c:v>
                </c:pt>
                <c:pt idx="469">
                  <c:v>0.81898007685484564</c:v>
                </c:pt>
                <c:pt idx="470">
                  <c:v>0.8250940175879109</c:v>
                </c:pt>
                <c:pt idx="471">
                  <c:v>0.82213288301651</c:v>
                </c:pt>
                <c:pt idx="472">
                  <c:v>0.82575984630317067</c:v>
                </c:pt>
                <c:pt idx="473">
                  <c:v>0.82278781074519625</c:v>
                </c:pt>
                <c:pt idx="474">
                  <c:v>0.82896787339769284</c:v>
                </c:pt>
                <c:pt idx="475">
                  <c:v>0.82606892355891015</c:v>
                </c:pt>
                <c:pt idx="476">
                  <c:v>0.83228095145151626</c:v>
                </c:pt>
                <c:pt idx="477">
                  <c:v>0.82933679812283967</c:v>
                </c:pt>
                <c:pt idx="478">
                  <c:v>0.82638626371184432</c:v>
                </c:pt>
                <c:pt idx="479">
                  <c:v>0.83008674345289191</c:v>
                </c:pt>
                <c:pt idx="480">
                  <c:v>0.83636744776609906</c:v>
                </c:pt>
                <c:pt idx="481">
                  <c:v>0.84012336634624352</c:v>
                </c:pt>
                <c:pt idx="482">
                  <c:v>0.84389460518296455</c:v>
                </c:pt>
                <c:pt idx="483">
                  <c:v>0.84091880527547047</c:v>
                </c:pt>
                <c:pt idx="484">
                  <c:v>0.84470029615925402</c:v>
                </c:pt>
                <c:pt idx="485">
                  <c:v>0.84171280050188457</c:v>
                </c:pt>
                <c:pt idx="486">
                  <c:v>0.8387548331909247</c:v>
                </c:pt>
                <c:pt idx="487">
                  <c:v>0.84518549466265658</c:v>
                </c:pt>
                <c:pt idx="488">
                  <c:v>0.84901389688134987</c:v>
                </c:pt>
                <c:pt idx="489">
                  <c:v>0.84600448236356274</c:v>
                </c:pt>
                <c:pt idx="490">
                  <c:v>0.84294033051127959</c:v>
                </c:pt>
                <c:pt idx="491">
                  <c:v>0.84677465051957845</c:v>
                </c:pt>
                <c:pt idx="492">
                  <c:v>0.84378246170848148</c:v>
                </c:pt>
                <c:pt idx="493">
                  <c:v>0.84078383595087036</c:v>
                </c:pt>
                <c:pt idx="494">
                  <c:v>0.83769368783545428</c:v>
                </c:pt>
                <c:pt idx="495">
                  <c:v>0.83464478078813653</c:v>
                </c:pt>
                <c:pt idx="496">
                  <c:v>0.83847384293252791</c:v>
                </c:pt>
                <c:pt idx="497">
                  <c:v>0.83541265497073558</c:v>
                </c:pt>
                <c:pt idx="498">
                  <c:v>0.83238127167443954</c:v>
                </c:pt>
                <c:pt idx="499">
                  <c:v>0.82930639303132514</c:v>
                </c:pt>
                <c:pt idx="500">
                  <c:v>0.82626153376084488</c:v>
                </c:pt>
                <c:pt idx="501">
                  <c:v>0.82317281081656624</c:v>
                </c:pt>
                <c:pt idx="502">
                  <c:v>0.8200265400857405</c:v>
                </c:pt>
                <c:pt idx="503">
                  <c:v>0.82657967967337331</c:v>
                </c:pt>
                <c:pt idx="504">
                  <c:v>0.82342197382603133</c:v>
                </c:pt>
                <c:pt idx="505">
                  <c:v>0.8202567613722711</c:v>
                </c:pt>
                <c:pt idx="506">
                  <c:v>0.82684195660654625</c:v>
                </c:pt>
                <c:pt idx="507">
                  <c:v>0.83346745831878533</c:v>
                </c:pt>
                <c:pt idx="508">
                  <c:v>0.83740185210380025</c:v>
                </c:pt>
                <c:pt idx="509">
                  <c:v>0.84135309710865336</c:v>
                </c:pt>
                <c:pt idx="510">
                  <c:v>0.8381622463604872</c:v>
                </c:pt>
                <c:pt idx="511">
                  <c:v>0.83496377775143371</c:v>
                </c:pt>
                <c:pt idx="512">
                  <c:v>0.83184467201281742</c:v>
                </c:pt>
                <c:pt idx="513">
                  <c:v>0.82871853479873181</c:v>
                </c:pt>
                <c:pt idx="514">
                  <c:v>0.83266474447787642</c:v>
                </c:pt>
                <c:pt idx="515">
                  <c:v>0.8366279554906727</c:v>
                </c:pt>
                <c:pt idx="516">
                  <c:v>0.83348270974314553</c:v>
                </c:pt>
                <c:pt idx="517">
                  <c:v>0.83033031506659793</c:v>
                </c:pt>
                <c:pt idx="518">
                  <c:v>0.82713270810824813</c:v>
                </c:pt>
                <c:pt idx="519">
                  <c:v>0.82392755652362593</c:v>
                </c:pt>
                <c:pt idx="520">
                  <c:v>0.82075311350077307</c:v>
                </c:pt>
                <c:pt idx="521">
                  <c:v>0.8175328767272344</c:v>
                </c:pt>
                <c:pt idx="522">
                  <c:v>0.82434312172026292</c:v>
                </c:pt>
                <c:pt idx="523">
                  <c:v>0.82833370200155299</c:v>
                </c:pt>
                <c:pt idx="524">
                  <c:v>0.83234170831749565</c:v>
                </c:pt>
                <c:pt idx="525">
                  <c:v>0.82913613534917119</c:v>
                </c:pt>
                <c:pt idx="526">
                  <c:v>0.82583287227256563</c:v>
                </c:pt>
                <c:pt idx="527">
                  <c:v>0.82261157395362439</c:v>
                </c:pt>
                <c:pt idx="528">
                  <c:v>0.8193438499940553</c:v>
                </c:pt>
                <c:pt idx="529">
                  <c:v>0.81601565482269056</c:v>
                </c:pt>
                <c:pt idx="530">
                  <c:v>0.8127315925206039</c:v>
                </c:pt>
                <c:pt idx="531">
                  <c:v>0.8196553282839244</c:v>
                </c:pt>
                <c:pt idx="532">
                  <c:v>0.81635910357604402</c:v>
                </c:pt>
                <c:pt idx="533">
                  <c:v>0.82332382626876199</c:v>
                </c:pt>
                <c:pt idx="534">
                  <c:v>0.83033408321537605</c:v>
                </c:pt>
                <c:pt idx="535">
                  <c:v>0.82702131089193553</c:v>
                </c:pt>
                <c:pt idx="536">
                  <c:v>0.82370044489787353</c:v>
                </c:pt>
                <c:pt idx="537">
                  <c:v>0.83074793453270135</c:v>
                </c:pt>
                <c:pt idx="538">
                  <c:v>0.82735908056963781</c:v>
                </c:pt>
                <c:pt idx="539">
                  <c:v>0.83444806654645509</c:v>
                </c:pt>
                <c:pt idx="540">
                  <c:v>0.83866034569359904</c:v>
                </c:pt>
                <c:pt idx="541">
                  <c:v>0.84584789205497257</c:v>
                </c:pt>
                <c:pt idx="542">
                  <c:v>0.84243525241786599</c:v>
                </c:pt>
                <c:pt idx="543">
                  <c:v>0.84671358626476845</c:v>
                </c:pt>
                <c:pt idx="544">
                  <c:v>0.84338155135467674</c:v>
                </c:pt>
                <c:pt idx="545">
                  <c:v>0.84004153452386887</c:v>
                </c:pt>
                <c:pt idx="546">
                  <c:v>0.83659661441624256</c:v>
                </c:pt>
                <c:pt idx="547">
                  <c:v>0.84386698264467319</c:v>
                </c:pt>
                <c:pt idx="548">
                  <c:v>0.84046405558638537</c:v>
                </c:pt>
                <c:pt idx="549">
                  <c:v>0.83699632819706615</c:v>
                </c:pt>
                <c:pt idx="550">
                  <c:v>0.84131594583146774</c:v>
                </c:pt>
                <c:pt idx="551">
                  <c:v>0.84565586170044527</c:v>
                </c:pt>
                <c:pt idx="552">
                  <c:v>0.84226300057993297</c:v>
                </c:pt>
                <c:pt idx="553">
                  <c:v>0.84661628967505531</c:v>
                </c:pt>
                <c:pt idx="554">
                  <c:v>0.84311234685112491</c:v>
                </c:pt>
                <c:pt idx="555">
                  <c:v>0.84748016315150621</c:v>
                </c:pt>
                <c:pt idx="556">
                  <c:v>0.84396093648126225</c:v>
                </c:pt>
                <c:pt idx="557">
                  <c:v>0.84048567588087364</c:v>
                </c:pt>
                <c:pt idx="558">
                  <c:v>0.83704285645566534</c:v>
                </c:pt>
                <c:pt idx="559">
                  <c:v>0.84141092348208446</c:v>
                </c:pt>
                <c:pt idx="560">
                  <c:v>0.83785736064338456</c:v>
                </c:pt>
                <c:pt idx="561">
                  <c:v>0.84541518177638419</c:v>
                </c:pt>
                <c:pt idx="562">
                  <c:v>0.84194229945732479</c:v>
                </c:pt>
                <c:pt idx="563">
                  <c:v>0.83841889770011979</c:v>
                </c:pt>
                <c:pt idx="564">
                  <c:v>0.83483138337269536</c:v>
                </c:pt>
                <c:pt idx="565">
                  <c:v>0.83128911658803317</c:v>
                </c:pt>
                <c:pt idx="566">
                  <c:v>0.82773759857334772</c:v>
                </c:pt>
                <c:pt idx="567">
                  <c:v>0.83214125833591568</c:v>
                </c:pt>
                <c:pt idx="568">
                  <c:v>0.83656614373813998</c:v>
                </c:pt>
                <c:pt idx="569">
                  <c:v>0.83293643743918844</c:v>
                </c:pt>
                <c:pt idx="570">
                  <c:v>0.84063353262098128</c:v>
                </c:pt>
                <c:pt idx="571">
                  <c:v>0.83698856659748844</c:v>
                </c:pt>
                <c:pt idx="572">
                  <c:v>0.84473648968888349</c:v>
                </c:pt>
                <c:pt idx="573">
                  <c:v>0.8411305789316349</c:v>
                </c:pt>
                <c:pt idx="574">
                  <c:v>0.83755778420218019</c:v>
                </c:pt>
                <c:pt idx="575">
                  <c:v>0.83387708208954703</c:v>
                </c:pt>
                <c:pt idx="576">
                  <c:v>0.83018621613469934</c:v>
                </c:pt>
                <c:pt idx="577">
                  <c:v>0.83796961318488639</c:v>
                </c:pt>
                <c:pt idx="578">
                  <c:v>0.83431885959245744</c:v>
                </c:pt>
                <c:pt idx="579">
                  <c:v>0.83065828771003514</c:v>
                </c:pt>
                <c:pt idx="580">
                  <c:v>0.8384879741243163</c:v>
                </c:pt>
                <c:pt idx="581">
                  <c:v>0.83481218382348987</c:v>
                </c:pt>
                <c:pt idx="582">
                  <c:v>0.83943350921315796</c:v>
                </c:pt>
                <c:pt idx="583">
                  <c:v>0.83578369523278984</c:v>
                </c:pt>
                <c:pt idx="584">
                  <c:v>0.83202244069420728</c:v>
                </c:pt>
                <c:pt idx="585">
                  <c:v>0.82835226452210076</c:v>
                </c:pt>
                <c:pt idx="586">
                  <c:v>0.82456957286698185</c:v>
                </c:pt>
                <c:pt idx="587">
                  <c:v>0.82918379569203116</c:v>
                </c:pt>
                <c:pt idx="588">
                  <c:v>0.8254406162278789</c:v>
                </c:pt>
                <c:pt idx="589">
                  <c:v>0.83342090728390383</c:v>
                </c:pt>
                <c:pt idx="590">
                  <c:v>0.83811400317561657</c:v>
                </c:pt>
                <c:pt idx="591">
                  <c:v>0.8343910780972148</c:v>
                </c:pt>
                <c:pt idx="592">
                  <c:v>0.84249093290110566</c:v>
                </c:pt>
                <c:pt idx="593">
                  <c:v>0.83870770294086039</c:v>
                </c:pt>
                <c:pt idx="594">
                  <c:v>0.84347351186060704</c:v>
                </c:pt>
                <c:pt idx="595">
                  <c:v>0.85169616489010713</c:v>
                </c:pt>
                <c:pt idx="596">
                  <c:v>0.85655420368207558</c:v>
                </c:pt>
                <c:pt idx="597">
                  <c:v>0.86143788860517889</c:v>
                </c:pt>
                <c:pt idx="598">
                  <c:v>0.85761277547898596</c:v>
                </c:pt>
                <c:pt idx="599">
                  <c:v>0.85372036682969665</c:v>
                </c:pt>
                <c:pt idx="600">
                  <c:v>0.86213263672763585</c:v>
                </c:pt>
                <c:pt idx="601">
                  <c:v>0.85827937249075348</c:v>
                </c:pt>
                <c:pt idx="602">
                  <c:v>0.86323401866672012</c:v>
                </c:pt>
                <c:pt idx="603">
                  <c:v>0.85936110002193411</c:v>
                </c:pt>
                <c:pt idx="604">
                  <c:v>0.85542027983930746</c:v>
                </c:pt>
                <c:pt idx="605">
                  <c:v>0.86395210170453973</c:v>
                </c:pt>
                <c:pt idx="606">
                  <c:v>0.8599931729861201</c:v>
                </c:pt>
                <c:pt idx="607">
                  <c:v>0.8561254412295628</c:v>
                </c:pt>
                <c:pt idx="608">
                  <c:v>0.86471359365068157</c:v>
                </c:pt>
                <c:pt idx="609">
                  <c:v>0.86072448352836173</c:v>
                </c:pt>
                <c:pt idx="610">
                  <c:v>0.8658095339570161</c:v>
                </c:pt>
                <c:pt idx="611">
                  <c:v>0.87453541168185578</c:v>
                </c:pt>
                <c:pt idx="612">
                  <c:v>0.88333306645068688</c:v>
                </c:pt>
                <c:pt idx="613">
                  <c:v>0.87936787067275501</c:v>
                </c:pt>
                <c:pt idx="614">
                  <c:v>0.88462475304384447</c:v>
                </c:pt>
                <c:pt idx="615">
                  <c:v>0.88068566543721882</c:v>
                </c:pt>
                <c:pt idx="616">
                  <c:v>0.87663040490966571</c:v>
                </c:pt>
                <c:pt idx="617">
                  <c:v>0.87262081920741685</c:v>
                </c:pt>
                <c:pt idx="618">
                  <c:v>0.86854107089430643</c:v>
                </c:pt>
                <c:pt idx="619">
                  <c:v>0.86455470532861856</c:v>
                </c:pt>
                <c:pt idx="620">
                  <c:v>0.86055696741544874</c:v>
                </c:pt>
                <c:pt idx="621">
                  <c:v>0.86945900165598955</c:v>
                </c:pt>
                <c:pt idx="622">
                  <c:v>0.86544339363405243</c:v>
                </c:pt>
                <c:pt idx="623">
                  <c:v>0.86130612825137154</c:v>
                </c:pt>
                <c:pt idx="624">
                  <c:v>0.86659766550588835</c:v>
                </c:pt>
                <c:pt idx="625">
                  <c:v>0.87191952710729503</c:v>
                </c:pt>
                <c:pt idx="626">
                  <c:v>0.88104495439500252</c:v>
                </c:pt>
                <c:pt idx="627">
                  <c:v>0.87687022356045463</c:v>
                </c:pt>
                <c:pt idx="628">
                  <c:v>0.87268264088486358</c:v>
                </c:pt>
                <c:pt idx="629">
                  <c:v>0.86858941651593258</c:v>
                </c:pt>
                <c:pt idx="630">
                  <c:v>0.86437563758487845</c:v>
                </c:pt>
                <c:pt idx="631">
                  <c:v>0.86020841753421695</c:v>
                </c:pt>
                <c:pt idx="632">
                  <c:v>0.85607741249411073</c:v>
                </c:pt>
                <c:pt idx="633">
                  <c:v>0.85188495504162653</c:v>
                </c:pt>
                <c:pt idx="634">
                  <c:v>0.86103796453751791</c:v>
                </c:pt>
                <c:pt idx="635">
                  <c:v>0.86648908660952062</c:v>
                </c:pt>
                <c:pt idx="636">
                  <c:v>0.87580662725881187</c:v>
                </c:pt>
                <c:pt idx="637">
                  <c:v>0.88137689034614097</c:v>
                </c:pt>
                <c:pt idx="638">
                  <c:v>0.89086485350365807</c:v>
                </c:pt>
                <c:pt idx="639">
                  <c:v>0.88655535401872376</c:v>
                </c:pt>
                <c:pt idx="640">
                  <c:v>0.88229266280645646</c:v>
                </c:pt>
                <c:pt idx="641">
                  <c:v>0.8879660606409191</c:v>
                </c:pt>
                <c:pt idx="642">
                  <c:v>0.88372941749653466</c:v>
                </c:pt>
                <c:pt idx="643">
                  <c:v>0.87942959123473063</c:v>
                </c:pt>
                <c:pt idx="644">
                  <c:v>0.87516702389762657</c:v>
                </c:pt>
                <c:pt idx="645">
                  <c:v>0.87084052899946662</c:v>
                </c:pt>
                <c:pt idx="646">
                  <c:v>0.86650042294076912</c:v>
                </c:pt>
                <c:pt idx="647">
                  <c:v>0.87610990165987257</c:v>
                </c:pt>
                <c:pt idx="648">
                  <c:v>0.88185436386353266</c:v>
                </c:pt>
                <c:pt idx="649">
                  <c:v>0.88763443534117881</c:v>
                </c:pt>
                <c:pt idx="650">
                  <c:v>0.88324990576448248</c:v>
                </c:pt>
                <c:pt idx="651">
                  <c:v>0.87878881618654514</c:v>
                </c:pt>
                <c:pt idx="652">
                  <c:v>0.87431305497486411</c:v>
                </c:pt>
                <c:pt idx="653">
                  <c:v>0.86993629985006626</c:v>
                </c:pt>
                <c:pt idx="654">
                  <c:v>0.86554584599456985</c:v>
                </c:pt>
                <c:pt idx="655">
                  <c:v>0.87539113567955007</c:v>
                </c:pt>
                <c:pt idx="656">
                  <c:v>0.87092641750274402</c:v>
                </c:pt>
                <c:pt idx="657">
                  <c:v>0.86650012698549383</c:v>
                </c:pt>
                <c:pt idx="658">
                  <c:v>0.86205982056302632</c:v>
                </c:pt>
                <c:pt idx="659">
                  <c:v>0.85755177529291515</c:v>
                </c:pt>
                <c:pt idx="660">
                  <c:v>0.8674558068402709</c:v>
                </c:pt>
                <c:pt idx="661">
                  <c:v>0.86297887695942932</c:v>
                </c:pt>
                <c:pt idx="662">
                  <c:v>0.87296678248547566</c:v>
                </c:pt>
                <c:pt idx="663">
                  <c:v>0.87896156075037535</c:v>
                </c:pt>
                <c:pt idx="664">
                  <c:v>0.8891456186881711</c:v>
                </c:pt>
                <c:pt idx="665">
                  <c:v>0.88449970225746022</c:v>
                </c:pt>
                <c:pt idx="666">
                  <c:v>0.87983790417546937</c:v>
                </c:pt>
                <c:pt idx="667">
                  <c:v>0.89009945063471885</c:v>
                </c:pt>
                <c:pt idx="668">
                  <c:v>0.88541208432940244</c:v>
                </c:pt>
                <c:pt idx="669">
                  <c:v>0.89162390165379302</c:v>
                </c:pt>
                <c:pt idx="670">
                  <c:v>0.8869774850878418</c:v>
                </c:pt>
                <c:pt idx="671">
                  <c:v>0.88224619263598747</c:v>
                </c:pt>
                <c:pt idx="672">
                  <c:v>0.87749841188164468</c:v>
                </c:pt>
                <c:pt idx="673">
                  <c:v>0.88792809152848229</c:v>
                </c:pt>
                <c:pt idx="674">
                  <c:v>0.89425622631335255</c:v>
                </c:pt>
                <c:pt idx="675">
                  <c:v>0.88953804133057246</c:v>
                </c:pt>
                <c:pt idx="676">
                  <c:v>0.90017208652741287</c:v>
                </c:pt>
                <c:pt idx="677">
                  <c:v>0.91091063826339858</c:v>
                </c:pt>
                <c:pt idx="678">
                  <c:v>0.91750123991305776</c:v>
                </c:pt>
                <c:pt idx="679">
                  <c:v>0.9127335629687201</c:v>
                </c:pt>
                <c:pt idx="680">
                  <c:v>0.91935661241640088</c:v>
                </c:pt>
                <c:pt idx="681">
                  <c:v>0.91455875949564902</c:v>
                </c:pt>
                <c:pt idx="682">
                  <c:v>0.92121454955060178</c:v>
                </c:pt>
                <c:pt idx="683">
                  <c:v>0.9324060066459966</c:v>
                </c:pt>
                <c:pt idx="684">
                  <c:v>0.94371422673640493</c:v>
                </c:pt>
                <c:pt idx="685">
                  <c:v>0.93892267796209916</c:v>
                </c:pt>
                <c:pt idx="686">
                  <c:v>0.93398788863634208</c:v>
                </c:pt>
                <c:pt idx="687">
                  <c:v>0.9409181119264971</c:v>
                </c:pt>
                <c:pt idx="688">
                  <c:v>0.93607768856725337</c:v>
                </c:pt>
                <c:pt idx="689">
                  <c:v>0.93109440488175521</c:v>
                </c:pt>
                <c:pt idx="690">
                  <c:v>0.93804732993192885</c:v>
                </c:pt>
                <c:pt idx="691">
                  <c:v>0.93309871842242309</c:v>
                </c:pt>
                <c:pt idx="692">
                  <c:v>0.92806601859051496</c:v>
                </c:pt>
                <c:pt idx="693">
                  <c:v>0.93969152938459521</c:v>
                </c:pt>
                <c:pt idx="694">
                  <c:v>0.93475473032605039</c:v>
                </c:pt>
                <c:pt idx="695">
                  <c:v>0.92967300341066972</c:v>
                </c:pt>
                <c:pt idx="696">
                  <c:v>0.92457262331347878</c:v>
                </c:pt>
                <c:pt idx="697">
                  <c:v>0.93628877549938205</c:v>
                </c:pt>
                <c:pt idx="698">
                  <c:v>0.94349630140961516</c:v>
                </c:pt>
                <c:pt idx="699">
                  <c:v>0.93841737836628469</c:v>
                </c:pt>
                <c:pt idx="700">
                  <c:v>0.95039143261133907</c:v>
                </c:pt>
                <c:pt idx="701">
                  <c:v>0.94528206787375735</c:v>
                </c:pt>
                <c:pt idx="702">
                  <c:v>0.95265749074181993</c:v>
                </c:pt>
                <c:pt idx="703">
                  <c:v>0.94744651367775712</c:v>
                </c:pt>
                <c:pt idx="704">
                  <c:v>0.94228263657334654</c:v>
                </c:pt>
                <c:pt idx="705">
                  <c:v>0.93716089272381975</c:v>
                </c:pt>
                <c:pt idx="706">
                  <c:v>0.93202086357320779</c:v>
                </c:pt>
                <c:pt idx="707">
                  <c:v>0.94421465754528078</c:v>
                </c:pt>
                <c:pt idx="708">
                  <c:v>0.95173312440083646</c:v>
                </c:pt>
                <c:pt idx="709">
                  <c:v>0.96421951486937174</c:v>
                </c:pt>
                <c:pt idx="710">
                  <c:v>0.97684996866365514</c:v>
                </c:pt>
                <c:pt idx="711">
                  <c:v>0.98962638754956256</c:v>
                </c:pt>
                <c:pt idx="712">
                  <c:v>0.98440065965963841</c:v>
                </c:pt>
                <c:pt idx="713">
                  <c:v>0.97915628922034958</c:v>
                </c:pt>
                <c:pt idx="714">
                  <c:v>0.9920539293599504</c:v>
                </c:pt>
                <c:pt idx="715">
                  <c:v>0.98677749062539932</c:v>
                </c:pt>
                <c:pt idx="716">
                  <c:v>0.99496102360405658</c:v>
                </c:pt>
                <c:pt idx="717">
                  <c:v>1.0081721499401723</c:v>
                </c:pt>
                <c:pt idx="718">
                  <c:v>1.0028441920152347</c:v>
                </c:pt>
                <c:pt idx="719">
                  <c:v>0.99742916053528163</c:v>
                </c:pt>
                <c:pt idx="720">
                  <c:v>1.010767089487026</c:v>
                </c:pt>
                <c:pt idx="721">
                  <c:v>1.0242619539714413</c:v>
                </c:pt>
                <c:pt idx="722">
                  <c:v>1.0330379670712972</c:v>
                </c:pt>
                <c:pt idx="723">
                  <c:v>1.0274762651283482</c:v>
                </c:pt>
                <c:pt idx="724">
                  <c:v>1.0218931139008436</c:v>
                </c:pt>
                <c:pt idx="725">
                  <c:v>1.0307137668244859</c:v>
                </c:pt>
                <c:pt idx="726">
                  <c:v>1.0396149089630122</c:v>
                </c:pt>
                <c:pt idx="727">
                  <c:v>1.0485979320807959</c:v>
                </c:pt>
                <c:pt idx="728">
                  <c:v>1.0429398254133904</c:v>
                </c:pt>
                <c:pt idx="729">
                  <c:v>1.0519879411156381</c:v>
                </c:pt>
                <c:pt idx="730">
                  <c:v>1.0464226251019269</c:v>
                </c:pt>
                <c:pt idx="731">
                  <c:v>1.0610382864283738</c:v>
                </c:pt>
                <c:pt idx="732">
                  <c:v>1.0758488312715486</c:v>
                </c:pt>
                <c:pt idx="733">
                  <c:v>1.0701594295422772</c:v>
                </c:pt>
                <c:pt idx="734">
                  <c:v>1.0644482898084857</c:v>
                </c:pt>
                <c:pt idx="735">
                  <c:v>1.0794197730841588</c:v>
                </c:pt>
                <c:pt idx="736">
                  <c:v>1.0737403951380509</c:v>
                </c:pt>
                <c:pt idx="737">
                  <c:v>1.0678937504164334</c:v>
                </c:pt>
                <c:pt idx="738">
                  <c:v>1.0620238002732516</c:v>
                </c:pt>
                <c:pt idx="739">
                  <c:v>1.0562751215152806</c:v>
                </c:pt>
                <c:pt idx="740">
                  <c:v>1.0503572046370946</c:v>
                </c:pt>
                <c:pt idx="741">
                  <c:v>1.0599900995903859</c:v>
                </c:pt>
                <c:pt idx="742">
                  <c:v>1.0753054287832726</c:v>
                </c:pt>
                <c:pt idx="743">
                  <c:v>1.0908289213771147</c:v>
                </c:pt>
                <c:pt idx="744">
                  <c:v>1.0849736199821682</c:v>
                </c:pt>
                <c:pt idx="745">
                  <c:v>1.0789462878224192</c:v>
                </c:pt>
                <c:pt idx="746">
                  <c:v>1.0729681329368879</c:v>
                </c:pt>
                <c:pt idx="747">
                  <c:v>1.0669660012146196</c:v>
                </c:pt>
                <c:pt idx="748">
                  <c:v>1.0608628183066093</c:v>
                </c:pt>
                <c:pt idx="749">
                  <c:v>1.0548104489876085</c:v>
                </c:pt>
                <c:pt idx="750">
                  <c:v>1.0488095500288848</c:v>
                </c:pt>
                <c:pt idx="751">
                  <c:v>1.0427846898279094</c:v>
                </c:pt>
                <c:pt idx="752">
                  <c:v>1.0365760119296408</c:v>
                </c:pt>
                <c:pt idx="753">
                  <c:v>1.0304223010570428</c:v>
                </c:pt>
                <c:pt idx="754">
                  <c:v>1.0243205563321081</c:v>
                </c:pt>
                <c:pt idx="755">
                  <c:v>1.0181937959424456</c:v>
                </c:pt>
                <c:pt idx="756">
                  <c:v>1.0281293758008641</c:v>
                </c:pt>
                <c:pt idx="757">
                  <c:v>1.0381671596117243</c:v>
                </c:pt>
                <c:pt idx="758">
                  <c:v>1.0319632612567198</c:v>
                </c:pt>
                <c:pt idx="759">
                  <c:v>1.0255708716151697</c:v>
                </c:pt>
                <c:pt idx="760">
                  <c:v>1.0415421087262424</c:v>
                </c:pt>
                <c:pt idx="761">
                  <c:v>1.057738954937242</c:v>
                </c:pt>
                <c:pt idx="762">
                  <c:v>1.0514396877824481</c:v>
                </c:pt>
                <c:pt idx="763">
                  <c:v>1.0451140538511319</c:v>
                </c:pt>
                <c:pt idx="764">
                  <c:v>1.0387617714378985</c:v>
                </c:pt>
                <c:pt idx="765">
                  <c:v>1.0322070396867309</c:v>
                </c:pt>
                <c:pt idx="766">
                  <c:v>1.0427351449403524</c:v>
                </c:pt>
                <c:pt idx="767">
                  <c:v>1.0362972689656216</c:v>
                </c:pt>
                <c:pt idx="768">
                  <c:v>1.0298316720267053</c:v>
                </c:pt>
                <c:pt idx="769">
                  <c:v>1.0232540133656562</c:v>
                </c:pt>
                <c:pt idx="770">
                  <c:v>1.0165513502793582</c:v>
                </c:pt>
                <c:pt idx="771">
                  <c:v>1.0099966123450586</c:v>
                </c:pt>
                <c:pt idx="772">
                  <c:v>1.0033276108219193</c:v>
                </c:pt>
                <c:pt idx="773">
                  <c:v>1.019817885011479</c:v>
                </c:pt>
                <c:pt idx="774">
                  <c:v>1.0131824264951639</c:v>
                </c:pt>
                <c:pt idx="775">
                  <c:v>1.0065172849611606</c:v>
                </c:pt>
                <c:pt idx="776">
                  <c:v>0.99973326222783088</c:v>
                </c:pt>
                <c:pt idx="777">
                  <c:v>0.99280936131185049</c:v>
                </c:pt>
                <c:pt idx="778">
                  <c:v>0.98604855998822138</c:v>
                </c:pt>
                <c:pt idx="779">
                  <c:v>1.002659516734568</c:v>
                </c:pt>
                <c:pt idx="780">
                  <c:v>0.99584542702354795</c:v>
                </c:pt>
                <c:pt idx="781">
                  <c:v>1.0126676694787311</c:v>
                </c:pt>
                <c:pt idx="782">
                  <c:v>1.023863137173719</c:v>
                </c:pt>
                <c:pt idx="783">
                  <c:v>1.0351882381810282</c:v>
                </c:pt>
                <c:pt idx="784">
                  <c:v>1.0529028267697245</c:v>
                </c:pt>
                <c:pt idx="785">
                  <c:v>1.0457408295360708</c:v>
                </c:pt>
                <c:pt idx="786">
                  <c:v>1.0387468730873695</c:v>
                </c:pt>
                <c:pt idx="787">
                  <c:v>1.0317203082625095</c:v>
                </c:pt>
                <c:pt idx="788">
                  <c:v>1.0434199564458613</c:v>
                </c:pt>
                <c:pt idx="789">
                  <c:v>1.0616730436007438</c:v>
                </c:pt>
                <c:pt idx="790">
                  <c:v>1.0545530477502549</c:v>
                </c:pt>
                <c:pt idx="791">
                  <c:v>1.0473994934661814</c:v>
                </c:pt>
                <c:pt idx="792">
                  <c:v>1.0399934320444195</c:v>
                </c:pt>
                <c:pt idx="793">
                  <c:v>1.0326679749461121</c:v>
                </c:pt>
                <c:pt idx="794">
                  <c:v>1.0447316634027213</c:v>
                </c:pt>
                <c:pt idx="795">
                  <c:v>1.056945380355754</c:v>
                </c:pt>
                <c:pt idx="796">
                  <c:v>1.049511361337844</c:v>
                </c:pt>
                <c:pt idx="797">
                  <c:v>1.0421391135701037</c:v>
                </c:pt>
                <c:pt idx="798">
                  <c:v>1.0345116601791851</c:v>
                </c:pt>
                <c:pt idx="799">
                  <c:v>1.0268438045195101</c:v>
                </c:pt>
                <c:pt idx="800">
                  <c:v>1.0390700550505827</c:v>
                </c:pt>
                <c:pt idx="801">
                  <c:v>1.0313279362194232</c:v>
                </c:pt>
                <c:pt idx="802">
                  <c:v>1.0236564435229776</c:v>
                </c:pt>
                <c:pt idx="803">
                  <c:v>1.0160443004151325</c:v>
                </c:pt>
                <c:pt idx="804">
                  <c:v>1.0082922734460473</c:v>
                </c:pt>
                <c:pt idx="805">
                  <c:v>1.027615331802707</c:v>
                </c:pt>
                <c:pt idx="806">
                  <c:v>1.0402407597139016</c:v>
                </c:pt>
                <c:pt idx="807">
                  <c:v>1.0322579723887393</c:v>
                </c:pt>
                <c:pt idx="808">
                  <c:v>1.0522870185802495</c:v>
                </c:pt>
                <c:pt idx="809">
                  <c:v>1.0442253117592528</c:v>
                </c:pt>
                <c:pt idx="810">
                  <c:v>1.0363410347227215</c:v>
                </c:pt>
                <c:pt idx="811">
                  <c:v>1.0284151460727835</c:v>
                </c:pt>
                <c:pt idx="812">
                  <c:v>1.0204470874259781</c:v>
                </c:pt>
                <c:pt idx="813">
                  <c:v>1.0121985092635377</c:v>
                </c:pt>
                <c:pt idx="814">
                  <c:v>1.0324074835835211</c:v>
                </c:pt>
                <c:pt idx="815">
                  <c:v>1.0243158518372921</c:v>
                </c:pt>
                <c:pt idx="816">
                  <c:v>1.0448372165750874</c:v>
                </c:pt>
                <c:pt idx="817">
                  <c:v>1.0364180248630872</c:v>
                </c:pt>
                <c:pt idx="818">
                  <c:v>1.0572470248660868</c:v>
                </c:pt>
                <c:pt idx="819">
                  <c:v>1.0487398012006983</c:v>
                </c:pt>
                <c:pt idx="820">
                  <c:v>1.0401825308723787</c:v>
                </c:pt>
                <c:pt idx="821">
                  <c:v>1.054383612533089</c:v>
                </c:pt>
                <c:pt idx="822">
                  <c:v>1.0457337175631527</c:v>
                </c:pt>
                <c:pt idx="823">
                  <c:v>1.037032006827312</c:v>
                </c:pt>
                <c:pt idx="824">
                  <c:v>1.0284062346062965</c:v>
                </c:pt>
                <c:pt idx="825">
                  <c:v>1.019844576862234</c:v>
                </c:pt>
                <c:pt idx="826">
                  <c:v>1.0340686342636054</c:v>
                </c:pt>
                <c:pt idx="827">
                  <c:v>1.0485017130597947</c:v>
                </c:pt>
                <c:pt idx="828">
                  <c:v>1.0631496503732725</c:v>
                </c:pt>
                <c:pt idx="829">
                  <c:v>1.0542709184547621</c:v>
                </c:pt>
                <c:pt idx="830">
                  <c:v>1.0452162361884096</c:v>
                </c:pt>
                <c:pt idx="831">
                  <c:v>1.0363401874162466</c:v>
                </c:pt>
                <c:pt idx="832">
                  <c:v>1.0592687355118955</c:v>
                </c:pt>
                <c:pt idx="833">
                  <c:v>1.0500529142775286</c:v>
                </c:pt>
                <c:pt idx="834">
                  <c:v>1.0409048815398729</c:v>
                </c:pt>
                <c:pt idx="835">
                  <c:v>1.0315694020817945</c:v>
                </c:pt>
                <c:pt idx="836">
                  <c:v>1.0221731201610489</c:v>
                </c:pt>
                <c:pt idx="837">
                  <c:v>1.0128430014614955</c:v>
                </c:pt>
                <c:pt idx="838">
                  <c:v>1.0278633871277414</c:v>
                </c:pt>
                <c:pt idx="839">
                  <c:v>1.0431179276716867</c:v>
                </c:pt>
                <c:pt idx="840">
                  <c:v>1.0337302634708978</c:v>
                </c:pt>
                <c:pt idx="841">
                  <c:v>1.0242831079137498</c:v>
                </c:pt>
                <c:pt idx="842">
                  <c:v>1.0396574037940709</c:v>
                </c:pt>
                <c:pt idx="843">
                  <c:v>1.0645305347533678</c:v>
                </c:pt>
                <c:pt idx="844">
                  <c:v>1.0546696488205218</c:v>
                </c:pt>
                <c:pt idx="845">
                  <c:v>1.0800418979599469</c:v>
                </c:pt>
                <c:pt idx="846">
                  <c:v>1.0700597812763502</c:v>
                </c:pt>
                <c:pt idx="847">
                  <c:v>1.0868856018156852</c:v>
                </c:pt>
                <c:pt idx="848">
                  <c:v>1.0770141075062685</c:v>
                </c:pt>
                <c:pt idx="849">
                  <c:v>1.0670778836983004</c:v>
                </c:pt>
                <c:pt idx="850">
                  <c:v>1.093569643512903</c:v>
                </c:pt>
                <c:pt idx="851">
                  <c:v>1.0835142309338319</c:v>
                </c:pt>
                <c:pt idx="852">
                  <c:v>1.1011626405702892</c:v>
                </c:pt>
                <c:pt idx="853">
                  <c:v>1.128997770707002</c:v>
                </c:pt>
                <c:pt idx="854">
                  <c:v>1.1184851831929865</c:v>
                </c:pt>
                <c:pt idx="855">
                  <c:v>1.1081561665971111</c:v>
                </c:pt>
                <c:pt idx="856">
                  <c:v>1.0976219945822439</c:v>
                </c:pt>
                <c:pt idx="857">
                  <c:v>1.0871500553440983</c:v>
                </c:pt>
                <c:pt idx="858">
                  <c:v>1.0763248817407967</c:v>
                </c:pt>
                <c:pt idx="859">
                  <c:v>1.104509724181518</c:v>
                </c:pt>
                <c:pt idx="860">
                  <c:v>1.0935372539115726</c:v>
                </c:pt>
                <c:pt idx="861">
                  <c:v>1.0826235073553365</c:v>
                </c:pt>
                <c:pt idx="862">
                  <c:v>1.1017554321605276</c:v>
                </c:pt>
                <c:pt idx="863">
                  <c:v>1.0908218322558794</c:v>
                </c:pt>
                <c:pt idx="864">
                  <c:v>1.120385737820343</c:v>
                </c:pt>
                <c:pt idx="865">
                  <c:v>1.1407602702527029</c:v>
                </c:pt>
                <c:pt idx="866">
                  <c:v>1.1293104724718077</c:v>
                </c:pt>
                <c:pt idx="867">
                  <c:v>1.1605445456055297</c:v>
                </c:pt>
                <c:pt idx="868">
                  <c:v>1.1823249851391118</c:v>
                </c:pt>
                <c:pt idx="869">
                  <c:v>1.2155094284286816</c:v>
                </c:pt>
                <c:pt idx="870">
                  <c:v>1.2038484344229687</c:v>
                </c:pt>
                <c:pt idx="871">
                  <c:v>1.1921000415278016</c:v>
                </c:pt>
                <c:pt idx="872">
                  <c:v>1.1804201380932819</c:v>
                </c:pt>
                <c:pt idx="873">
                  <c:v>1.1686533583910783</c:v>
                </c:pt>
                <c:pt idx="874">
                  <c:v>1.1566355478063621</c:v>
                </c:pt>
                <c:pt idx="875">
                  <c:v>1.1902723453470161</c:v>
                </c:pt>
                <c:pt idx="876">
                  <c:v>1.1780692767911671</c:v>
                </c:pt>
                <c:pt idx="877">
                  <c:v>1.1659416213487401</c:v>
                </c:pt>
                <c:pt idx="878">
                  <c:v>1.1535451523051592</c:v>
                </c:pt>
                <c:pt idx="879">
                  <c:v>1.1410479279081456</c:v>
                </c:pt>
                <c:pt idx="880">
                  <c:v>1.1751707056752001</c:v>
                </c:pt>
                <c:pt idx="881">
                  <c:v>1.2003374546943479</c:v>
                </c:pt>
                <c:pt idx="882">
                  <c:v>1.1877095615793991</c:v>
                </c:pt>
                <c:pt idx="883">
                  <c:v>1.2240524029059028</c:v>
                </c:pt>
                <c:pt idx="884">
                  <c:v>1.2110300299858414</c:v>
                </c:pt>
                <c:pt idx="885">
                  <c:v>1.1978991232820191</c:v>
                </c:pt>
                <c:pt idx="886">
                  <c:v>1.2248947031532882</c:v>
                </c:pt>
                <c:pt idx="887">
                  <c:v>1.2117223771935028</c:v>
                </c:pt>
                <c:pt idx="888">
                  <c:v>1.1984413660357567</c:v>
                </c:pt>
                <c:pt idx="889">
                  <c:v>1.1846195199779348</c:v>
                </c:pt>
                <c:pt idx="890">
                  <c:v>1.1710979339075001</c:v>
                </c:pt>
                <c:pt idx="891">
                  <c:v>1.1982894376213347</c:v>
                </c:pt>
                <c:pt idx="892">
                  <c:v>1.1840859312565652</c:v>
                </c:pt>
                <c:pt idx="893">
                  <c:v>1.1697491880185888</c:v>
                </c:pt>
                <c:pt idx="894">
                  <c:v>1.1554905578430568</c:v>
                </c:pt>
                <c:pt idx="895">
                  <c:v>1.1410982696294389</c:v>
                </c:pt>
                <c:pt idx="896">
                  <c:v>1.1267783662811066</c:v>
                </c:pt>
                <c:pt idx="897">
                  <c:v>1.1118634454083531</c:v>
                </c:pt>
                <c:pt idx="898">
                  <c:v>1.0970421347681325</c:v>
                </c:pt>
                <c:pt idx="899">
                  <c:v>1.1239941563373124</c:v>
                </c:pt>
                <c:pt idx="900">
                  <c:v>1.1088726592769838</c:v>
                </c:pt>
                <c:pt idx="901">
                  <c:v>1.0935976320689584</c:v>
                </c:pt>
                <c:pt idx="902">
                  <c:v>1.0779036103202349</c:v>
                </c:pt>
                <c:pt idx="903">
                  <c:v>1.0620387829765483</c:v>
                </c:pt>
                <c:pt idx="904">
                  <c:v>1.1024643958475149</c:v>
                </c:pt>
                <c:pt idx="905">
                  <c:v>1.1314385299648633</c:v>
                </c:pt>
                <c:pt idx="906">
                  <c:v>1.1151047595430557</c:v>
                </c:pt>
                <c:pt idx="907">
                  <c:v>1.0990506456879119</c:v>
                </c:pt>
                <c:pt idx="908">
                  <c:v>1.1285376130615701</c:v>
                </c:pt>
                <c:pt idx="909">
                  <c:v>1.1589138813273225</c:v>
                </c:pt>
                <c:pt idx="910">
                  <c:v>1.1418746047206565</c:v>
                </c:pt>
                <c:pt idx="911">
                  <c:v>1.1730153624189705</c:v>
                </c:pt>
                <c:pt idx="912">
                  <c:v>1.1556025494469282</c:v>
                </c:pt>
                <c:pt idx="913">
                  <c:v>1.1381637816159744</c:v>
                </c:pt>
                <c:pt idx="914">
                  <c:v>1.1880231950022742</c:v>
                </c:pt>
                <c:pt idx="915">
                  <c:v>1.170196113326138</c:v>
                </c:pt>
                <c:pt idx="916">
                  <c:v>1.1519513968873534</c:v>
                </c:pt>
                <c:pt idx="917">
                  <c:v>1.1334819092833772</c:v>
                </c:pt>
                <c:pt idx="918">
                  <c:v>1.114976408581049</c:v>
                </c:pt>
                <c:pt idx="919">
                  <c:v>1.0964740024603599</c:v>
                </c:pt>
                <c:pt idx="920">
                  <c:v>1.0777418495261062</c:v>
                </c:pt>
                <c:pt idx="921">
                  <c:v>1.0587725260751357</c:v>
                </c:pt>
                <c:pt idx="922">
                  <c:v>1.0390307911101646</c:v>
                </c:pt>
                <c:pt idx="923">
                  <c:v>1.0715100897749639</c:v>
                </c:pt>
                <c:pt idx="924">
                  <c:v>1.051271474920205</c:v>
                </c:pt>
                <c:pt idx="925">
                  <c:v>1.0846224726186651</c:v>
                </c:pt>
                <c:pt idx="926">
                  <c:v>1.0640595909619972</c:v>
                </c:pt>
                <c:pt idx="927">
                  <c:v>1.1198390598748142</c:v>
                </c:pt>
                <c:pt idx="928">
                  <c:v>1.1572161882978069</c:v>
                </c:pt>
                <c:pt idx="929">
                  <c:v>1.1360789870507273</c:v>
                </c:pt>
                <c:pt idx="930">
                  <c:v>1.1141783991603134</c:v>
                </c:pt>
                <c:pt idx="931">
                  <c:v>1.0921445006788171</c:v>
                </c:pt>
                <c:pt idx="932">
                  <c:v>1.0700375632239243</c:v>
                </c:pt>
                <c:pt idx="933">
                  <c:v>1.0473249094199073</c:v>
                </c:pt>
                <c:pt idx="934">
                  <c:v>1.1082455033979901</c:v>
                </c:pt>
                <c:pt idx="935">
                  <c:v>1.0846227181203238</c:v>
                </c:pt>
                <c:pt idx="936">
                  <c:v>1.060607584081487</c:v>
                </c:pt>
                <c:pt idx="937">
                  <c:v>1.1243264854567103</c:v>
                </c:pt>
                <c:pt idx="938">
                  <c:v>1.0995880194598382</c:v>
                </c:pt>
                <c:pt idx="939">
                  <c:v>1.1439140558307126</c:v>
                </c:pt>
                <c:pt idx="940">
                  <c:v>1.118590121321047</c:v>
                </c:pt>
                <c:pt idx="941">
                  <c:v>1.0931287796194107</c:v>
                </c:pt>
                <c:pt idx="942">
                  <c:v>1.1643452239899474</c:v>
                </c:pt>
                <c:pt idx="943">
                  <c:v>1.2152711698318632</c:v>
                </c:pt>
                <c:pt idx="944">
                  <c:v>1.1885180491545502</c:v>
                </c:pt>
                <c:pt idx="945">
                  <c:v>1.1612922697198029</c:v>
                </c:pt>
                <c:pt idx="946">
                  <c:v>1.2424759033669708</c:v>
                </c:pt>
                <c:pt idx="947">
                  <c:v>1.3020800180224006</c:v>
                </c:pt>
                <c:pt idx="948">
                  <c:v>1.2733220080972407</c:v>
                </c:pt>
                <c:pt idx="949">
                  <c:v>1.2440353082309916</c:v>
                </c:pt>
                <c:pt idx="950">
                  <c:v>1.3059024907183743</c:v>
                </c:pt>
                <c:pt idx="951">
                  <c:v>1.274754650892868</c:v>
                </c:pt>
                <c:pt idx="952">
                  <c:v>1.2435714603683747</c:v>
                </c:pt>
                <c:pt idx="953">
                  <c:v>1.2113547081191809</c:v>
                </c:pt>
                <c:pt idx="954">
                  <c:v>1.2749693495411059</c:v>
                </c:pt>
                <c:pt idx="955">
                  <c:v>1.2416862214341131</c:v>
                </c:pt>
                <c:pt idx="956">
                  <c:v>1.3534119606285298</c:v>
                </c:pt>
                <c:pt idx="957">
                  <c:v>1.3182315543492902</c:v>
                </c:pt>
                <c:pt idx="958">
                  <c:v>1.2827244823470809</c:v>
                </c:pt>
                <c:pt idx="959">
                  <c:v>1.2459074181896921</c:v>
                </c:pt>
                <c:pt idx="960">
                  <c:v>1.2081845126717687</c:v>
                </c:pt>
                <c:pt idx="961">
                  <c:v>1.168960117932307</c:v>
                </c:pt>
                <c:pt idx="962">
                  <c:v>1.1291656632072158</c:v>
                </c:pt>
                <c:pt idx="963">
                  <c:v>1.0876714050900431</c:v>
                </c:pt>
                <c:pt idx="964">
                  <c:v>1.1594227398905668</c:v>
                </c:pt>
                <c:pt idx="965">
                  <c:v>1.1156821133562294</c:v>
                </c:pt>
                <c:pt idx="966">
                  <c:v>1.246781519413229</c:v>
                </c:pt>
                <c:pt idx="967">
                  <c:v>1.2015597964915572</c:v>
                </c:pt>
                <c:pt idx="968">
                  <c:v>1.2927015241932862</c:v>
                </c:pt>
                <c:pt idx="969">
                  <c:v>1.3925106604790438</c:v>
                </c:pt>
                <c:pt idx="970">
                  <c:v>1.5893077704631093</c:v>
                </c:pt>
                <c:pt idx="971">
                  <c:v>1.5369195485853742</c:v>
                </c:pt>
                <c:pt idx="972">
                  <c:v>1.4834239655626733</c:v>
                </c:pt>
                <c:pt idx="973">
                  <c:v>1.4273624580211657</c:v>
                </c:pt>
                <c:pt idx="974">
                  <c:v>1.3692700647337737</c:v>
                </c:pt>
                <c:pt idx="975">
                  <c:v>1.3087746505786209</c:v>
                </c:pt>
                <c:pt idx="976">
                  <c:v>1.4401919708852748</c:v>
                </c:pt>
                <c:pt idx="977">
                  <c:v>1.3750249148710494</c:v>
                </c:pt>
                <c:pt idx="978">
                  <c:v>1.306583710987816</c:v>
                </c:pt>
                <c:pt idx="979">
                  <c:v>1.235032496901642</c:v>
                </c:pt>
                <c:pt idx="980">
                  <c:v>1.1597343255029204</c:v>
                </c:pt>
                <c:pt idx="981">
                  <c:v>1.0794042018428505</c:v>
                </c:pt>
                <c:pt idx="982">
                  <c:v>0.99391113051087365</c:v>
                </c:pt>
                <c:pt idx="983">
                  <c:v>1.121994247882919</c:v>
                </c:pt>
                <c:pt idx="984">
                  <c:v>1.4377361727202809</c:v>
                </c:pt>
                <c:pt idx="985">
                  <c:v>1.3388553803689074</c:v>
                </c:pt>
                <c:pt idx="986">
                  <c:v>1.7845540831228244</c:v>
                </c:pt>
                <c:pt idx="987">
                  <c:v>2.1621960733990613</c:v>
                </c:pt>
                <c:pt idx="988">
                  <c:v>2.04036155932324</c:v>
                </c:pt>
                <c:pt idx="989">
                  <c:v>1.9098044036971553</c:v>
                </c:pt>
                <c:pt idx="990">
                  <c:v>3.1316494753448945</c:v>
                </c:pt>
                <c:pt idx="991">
                  <c:v>2.9746135749429161</c:v>
                </c:pt>
                <c:pt idx="992">
                  <c:v>2.804637900806612</c:v>
                </c:pt>
                <c:pt idx="993">
                  <c:v>2.6273196627396564</c:v>
                </c:pt>
                <c:pt idx="994">
                  <c:v>0.82815936739297491</c:v>
                </c:pt>
                <c:pt idx="995">
                  <c:v>0.4725001439954174</c:v>
                </c:pt>
                <c:pt idx="996">
                  <c:v>1.7198680301759639</c:v>
                </c:pt>
                <c:pt idx="997">
                  <c:v>1.4578629673213048</c:v>
                </c:pt>
                <c:pt idx="998">
                  <c:v>0</c:v>
                </c:pt>
                <c:pt idx="9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BB-4F4B-B80A-1E381CB1B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5800928"/>
        <c:axId val="1885784608"/>
      </c:lineChart>
      <c:catAx>
        <c:axId val="1885800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784608"/>
        <c:crosses val="autoZero"/>
        <c:auto val="1"/>
        <c:lblAlgn val="ctr"/>
        <c:lblOffset val="100"/>
        <c:noMultiLvlLbl val="0"/>
      </c:catAx>
      <c:valAx>
        <c:axId val="188578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80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18815</xdr:colOff>
      <xdr:row>7</xdr:row>
      <xdr:rowOff>148355</xdr:rowOff>
    </xdr:from>
    <xdr:to>
      <xdr:col>3</xdr:col>
      <xdr:colOff>277895</xdr:colOff>
      <xdr:row>18</xdr:row>
      <xdr:rowOff>114065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8990EC-8340-8A5E-ED57-D3F59D5A9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346475</xdr:colOff>
      <xdr:row>7</xdr:row>
      <xdr:rowOff>169540</xdr:rowOff>
    </xdr:from>
    <xdr:to>
      <xdr:col>7</xdr:col>
      <xdr:colOff>508000</xdr:colOff>
      <xdr:row>18</xdr:row>
      <xdr:rowOff>125495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37CA4A-2730-5213-62BC-002D0144B5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573850</xdr:colOff>
      <xdr:row>8</xdr:row>
      <xdr:rowOff>4164</xdr:rowOff>
    </xdr:from>
    <xdr:to>
      <xdr:col>12</xdr:col>
      <xdr:colOff>696148</xdr:colOff>
      <xdr:row>18</xdr:row>
      <xdr:rowOff>134796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864E989-7F75-8D20-535D-00DD817CF8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58348</xdr:colOff>
      <xdr:row>19</xdr:row>
      <xdr:rowOff>39209</xdr:rowOff>
    </xdr:from>
    <xdr:to>
      <xdr:col>8</xdr:col>
      <xdr:colOff>786720</xdr:colOff>
      <xdr:row>30</xdr:row>
      <xdr:rowOff>84666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E7505A-ADAF-DFEF-64D8-4596C1C63D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39228</xdr:colOff>
      <xdr:row>19</xdr:row>
      <xdr:rowOff>5803</xdr:rowOff>
    </xdr:from>
    <xdr:to>
      <xdr:col>4</xdr:col>
      <xdr:colOff>743184</xdr:colOff>
      <xdr:row>30</xdr:row>
      <xdr:rowOff>94074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8B32873-7638-3D1D-69F4-DCF67242AB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4</xdr:row>
      <xdr:rowOff>0</xdr:rowOff>
    </xdr:from>
    <xdr:to>
      <xdr:col>17</xdr:col>
      <xdr:colOff>280877</xdr:colOff>
      <xdr:row>19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EE275F-EAB0-45A8-BAB5-AB085EF0EB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isri" refreshedDate="46003.455480324075" createdVersion="8" refreshedVersion="8" minRefreshableVersion="3" recordCount="1000" xr:uid="{8B2FAA5A-B231-4F6C-B881-8C10C6674D4D}">
  <cacheSource type="worksheet">
    <worksheetSource name="Table1"/>
  </cacheSource>
  <cacheFields count="10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 count="1000">
        <s v="CUST001"/>
        <s v="CUST002"/>
        <s v="CUST003"/>
        <s v="CUST004"/>
        <s v="CUST005"/>
        <s v="CUST006"/>
        <s v="CUST007"/>
        <s v="CUST008"/>
        <s v="CUST009"/>
        <s v="CUST010"/>
        <s v="CUST011"/>
        <s v="CUST012"/>
        <s v="CUST013"/>
        <s v="CUST014"/>
        <s v="CUST015"/>
        <s v="CUST016"/>
        <s v="CUST017"/>
        <s v="CUST018"/>
        <s v="CUST019"/>
        <s v="CUST020"/>
        <s v="CUST021"/>
        <s v="CUST022"/>
        <s v="CUST023"/>
        <s v="CUST024"/>
        <s v="CUST025"/>
        <s v="CUST026"/>
        <s v="CUST027"/>
        <s v="CUST028"/>
        <s v="CUST029"/>
        <s v="CUST030"/>
        <s v="CUST031"/>
        <s v="CUST032"/>
        <s v="CUST033"/>
        <s v="CUST034"/>
        <s v="CUST035"/>
        <s v="CUST036"/>
        <s v="CUST037"/>
        <s v="CUST038"/>
        <s v="CUST039"/>
        <s v="CUST040"/>
        <s v="CUST041"/>
        <s v="CUST042"/>
        <s v="CUST043"/>
        <s v="CUST044"/>
        <s v="CUST045"/>
        <s v="CUST046"/>
        <s v="CUST047"/>
        <s v="CUST048"/>
        <s v="CUST049"/>
        <s v="CUST050"/>
        <s v="CUST051"/>
        <s v="CUST052"/>
        <s v="CUST053"/>
        <s v="CUST054"/>
        <s v="CUST055"/>
        <s v="CUST056"/>
        <s v="CUST057"/>
        <s v="CUST058"/>
        <s v="CUST059"/>
        <s v="CUST060"/>
        <s v="CUST061"/>
        <s v="CUST062"/>
        <s v="CUST063"/>
        <s v="CUST064"/>
        <s v="CUST065"/>
        <s v="CUST066"/>
        <s v="CUST067"/>
        <s v="CUST068"/>
        <s v="CUST069"/>
        <s v="CUST070"/>
        <s v="CUST071"/>
        <s v="CUST072"/>
        <s v="CUST073"/>
        <s v="CUST074"/>
        <s v="CUST075"/>
        <s v="CUST076"/>
        <s v="CUST077"/>
        <s v="CUST078"/>
        <s v="CUST079"/>
        <s v="CUST080"/>
        <s v="CUST081"/>
        <s v="CUST082"/>
        <s v="CUST083"/>
        <s v="CUST084"/>
        <s v="CUST085"/>
        <s v="CUST086"/>
        <s v="CUST087"/>
        <s v="CUST088"/>
        <s v="CUST089"/>
        <s v="CUST090"/>
        <s v="CUST091"/>
        <s v="CUST092"/>
        <s v="CUST093"/>
        <s v="CUST094"/>
        <s v="CUST095"/>
        <s v="CUST096"/>
        <s v="CUST097"/>
        <s v="CUST098"/>
        <s v="CUST099"/>
        <s v="CUST100"/>
        <s v="CUST101"/>
        <s v="CUST102"/>
        <s v="CUST103"/>
        <s v="CUST104"/>
        <s v="CUST105"/>
        <s v="CUST106"/>
        <s v="CUST107"/>
        <s v="CUST108"/>
        <s v="CUST109"/>
        <s v="CUST110"/>
        <s v="CUST111"/>
        <s v="CUST112"/>
        <s v="CUST113"/>
        <s v="CUST114"/>
        <s v="CUST115"/>
        <s v="CUST116"/>
        <s v="CUST117"/>
        <s v="CUST118"/>
        <s v="CUST119"/>
        <s v="CUST120"/>
        <s v="CUST121"/>
        <s v="CUST122"/>
        <s v="CUST123"/>
        <s v="CUST124"/>
        <s v="CUST125"/>
        <s v="CUST126"/>
        <s v="CUST127"/>
        <s v="CUST128"/>
        <s v="CUST129"/>
        <s v="CUST130"/>
        <s v="CUST131"/>
        <s v="CUST132"/>
        <s v="CUST133"/>
        <s v="CUST134"/>
        <s v="CUST135"/>
        <s v="CUST136"/>
        <s v="CUST137"/>
        <s v="CUST138"/>
        <s v="CUST139"/>
        <s v="CUST140"/>
        <s v="CUST141"/>
        <s v="CUST142"/>
        <s v="CUST143"/>
        <s v="CUST144"/>
        <s v="CUST145"/>
        <s v="CUST146"/>
        <s v="CUST147"/>
        <s v="CUST148"/>
        <s v="CUST149"/>
        <s v="CUST150"/>
        <s v="CUST151"/>
        <s v="CUST152"/>
        <s v="CUST153"/>
        <s v="CUST154"/>
        <s v="CUST155"/>
        <s v="CUST156"/>
        <s v="CUST157"/>
        <s v="CUST158"/>
        <s v="CUST159"/>
        <s v="CUST160"/>
        <s v="CUST161"/>
        <s v="CUST162"/>
        <s v="CUST163"/>
        <s v="CUST164"/>
        <s v="CUST165"/>
        <s v="CUST166"/>
        <s v="CUST167"/>
        <s v="CUST168"/>
        <s v="CUST169"/>
        <s v="CUST170"/>
        <s v="CUST171"/>
        <s v="CUST172"/>
        <s v="CUST173"/>
        <s v="CUST174"/>
        <s v="CUST175"/>
        <s v="CUST176"/>
        <s v="CUST177"/>
        <s v="CUST178"/>
        <s v="CUST179"/>
        <s v="CUST180"/>
        <s v="CUST181"/>
        <s v="CUST182"/>
        <s v="CUST183"/>
        <s v="CUST184"/>
        <s v="CUST185"/>
        <s v="CUST186"/>
        <s v="CUST187"/>
        <s v="CUST188"/>
        <s v="CUST189"/>
        <s v="CUST190"/>
        <s v="CUST191"/>
        <s v="CUST192"/>
        <s v="CUST193"/>
        <s v="CUST194"/>
        <s v="CUST195"/>
        <s v="CUST196"/>
        <s v="CUST197"/>
        <s v="CUST198"/>
        <s v="CUST199"/>
        <s v="CUST200"/>
        <s v="CUST201"/>
        <s v="CUST202"/>
        <s v="CUST203"/>
        <s v="CUST204"/>
        <s v="CUST205"/>
        <s v="CUST206"/>
        <s v="CUST207"/>
        <s v="CUST208"/>
        <s v="CUST209"/>
        <s v="CUST210"/>
        <s v="CUST211"/>
        <s v="CUST212"/>
        <s v="CUST213"/>
        <s v="CUST214"/>
        <s v="CUST215"/>
        <s v="CUST216"/>
        <s v="CUST217"/>
        <s v="CUST218"/>
        <s v="CUST219"/>
        <s v="CUST220"/>
        <s v="CUST221"/>
        <s v="CUST222"/>
        <s v="CUST223"/>
        <s v="CUST224"/>
        <s v="CUST225"/>
        <s v="CUST226"/>
        <s v="CUST227"/>
        <s v="CUST228"/>
        <s v="CUST229"/>
        <s v="CUST230"/>
        <s v="CUST231"/>
        <s v="CUST232"/>
        <s v="CUST233"/>
        <s v="CUST234"/>
        <s v="CUST235"/>
        <s v="CUST236"/>
        <s v="CUST237"/>
        <s v="CUST238"/>
        <s v="CUST239"/>
        <s v="CUST240"/>
        <s v="CUST241"/>
        <s v="CUST242"/>
        <s v="CUST243"/>
        <s v="CUST244"/>
        <s v="CUST245"/>
        <s v="CUST246"/>
        <s v="CUST247"/>
        <s v="CUST248"/>
        <s v="CUST249"/>
        <s v="CUST250"/>
        <s v="CUST251"/>
        <s v="CUST252"/>
        <s v="CUST253"/>
        <s v="CUST254"/>
        <s v="CUST255"/>
        <s v="CUST256"/>
        <s v="CUST257"/>
        <s v="CUST258"/>
        <s v="CUST259"/>
        <s v="CUST260"/>
        <s v="CUST261"/>
        <s v="CUST262"/>
        <s v="CUST263"/>
        <s v="CUST264"/>
        <s v="CUST265"/>
        <s v="CUST266"/>
        <s v="CUST267"/>
        <s v="CUST268"/>
        <s v="CUST269"/>
        <s v="CUST270"/>
        <s v="CUST271"/>
        <s v="CUST272"/>
        <s v="CUST273"/>
        <s v="CUST274"/>
        <s v="CUST275"/>
        <s v="CUST276"/>
        <s v="CUST277"/>
        <s v="CUST278"/>
        <s v="CUST279"/>
        <s v="CUST280"/>
        <s v="CUST281"/>
        <s v="CUST282"/>
        <s v="CUST283"/>
        <s v="CUST284"/>
        <s v="CUST285"/>
        <s v="CUST286"/>
        <s v="CUST287"/>
        <s v="CUST288"/>
        <s v="CUST289"/>
        <s v="CUST290"/>
        <s v="CUST291"/>
        <s v="CUST292"/>
        <s v="CUST293"/>
        <s v="CUST294"/>
        <s v="CUST295"/>
        <s v="CUST296"/>
        <s v="CUST297"/>
        <s v="CUST298"/>
        <s v="CUST299"/>
        <s v="CUST300"/>
        <s v="CUST301"/>
        <s v="CUST302"/>
        <s v="CUST303"/>
        <s v="CUST304"/>
        <s v="CUST305"/>
        <s v="CUST306"/>
        <s v="CUST307"/>
        <s v="CUST308"/>
        <s v="CUST309"/>
        <s v="CUST310"/>
        <s v="CUST311"/>
        <s v="CUST312"/>
        <s v="CUST313"/>
        <s v="CUST314"/>
        <s v="CUST315"/>
        <s v="CUST316"/>
        <s v="CUST317"/>
        <s v="CUST318"/>
        <s v="CUST319"/>
        <s v="CUST320"/>
        <s v="CUST321"/>
        <s v="CUST322"/>
        <s v="CUST323"/>
        <s v="CUST324"/>
        <s v="CUST325"/>
        <s v="CUST326"/>
        <s v="CUST327"/>
        <s v="CUST328"/>
        <s v="CUST329"/>
        <s v="CUST330"/>
        <s v="CUST331"/>
        <s v="CUST332"/>
        <s v="CUST333"/>
        <s v="CUST334"/>
        <s v="CUST335"/>
        <s v="CUST336"/>
        <s v="CUST337"/>
        <s v="CUST338"/>
        <s v="CUST339"/>
        <s v="CUST340"/>
        <s v="CUST341"/>
        <s v="CUST342"/>
        <s v="CUST343"/>
        <s v="CUST344"/>
        <s v="CUST345"/>
        <s v="CUST346"/>
        <s v="CUST347"/>
        <s v="CUST348"/>
        <s v="CUST349"/>
        <s v="CUST350"/>
        <s v="CUST351"/>
        <s v="CUST352"/>
        <s v="CUST353"/>
        <s v="CUST354"/>
        <s v="CUST355"/>
        <s v="CUST356"/>
        <s v="CUST357"/>
        <s v="CUST358"/>
        <s v="CUST359"/>
        <s v="CUST360"/>
        <s v="CUST361"/>
        <s v="CUST362"/>
        <s v="CUST363"/>
        <s v="CUST364"/>
        <s v="CUST365"/>
        <s v="CUST366"/>
        <s v="CUST367"/>
        <s v="CUST368"/>
        <s v="CUST369"/>
        <s v="CUST370"/>
        <s v="CUST371"/>
        <s v="CUST372"/>
        <s v="CUST373"/>
        <s v="CUST374"/>
        <s v="CUST375"/>
        <s v="CUST376"/>
        <s v="CUST377"/>
        <s v="CUST378"/>
        <s v="CUST379"/>
        <s v="CUST380"/>
        <s v="CUST381"/>
        <s v="CUST382"/>
        <s v="CUST383"/>
        <s v="CUST384"/>
        <s v="CUST385"/>
        <s v="CUST386"/>
        <s v="CUST387"/>
        <s v="CUST388"/>
        <s v="CUST389"/>
        <s v="CUST390"/>
        <s v="CUST391"/>
        <s v="CUST392"/>
        <s v="CUST393"/>
        <s v="CUST394"/>
        <s v="CUST395"/>
        <s v="CUST396"/>
        <s v="CUST397"/>
        <s v="CUST398"/>
        <s v="CUST399"/>
        <s v="CUST400"/>
        <s v="CUST401"/>
        <s v="CUST402"/>
        <s v="CUST403"/>
        <s v="CUST404"/>
        <s v="CUST405"/>
        <s v="CUST406"/>
        <s v="CUST407"/>
        <s v="CUST408"/>
        <s v="CUST409"/>
        <s v="CUST410"/>
        <s v="CUST411"/>
        <s v="CUST412"/>
        <s v="CUST413"/>
        <s v="CUST414"/>
        <s v="CUST415"/>
        <s v="CUST416"/>
        <s v="CUST417"/>
        <s v="CUST418"/>
        <s v="CUST419"/>
        <s v="CUST420"/>
        <s v="CUST421"/>
        <s v="CUST422"/>
        <s v="CUST423"/>
        <s v="CUST424"/>
        <s v="CUST425"/>
        <s v="CUST426"/>
        <s v="CUST427"/>
        <s v="CUST428"/>
        <s v="CUST429"/>
        <s v="CUST430"/>
        <s v="CUST431"/>
        <s v="CUST432"/>
        <s v="CUST433"/>
        <s v="CUST434"/>
        <s v="CUST435"/>
        <s v="CUST436"/>
        <s v="CUST437"/>
        <s v="CUST438"/>
        <s v="CUST439"/>
        <s v="CUST440"/>
        <s v="CUST441"/>
        <s v="CUST442"/>
        <s v="CUST443"/>
        <s v="CUST444"/>
        <s v="CUST445"/>
        <s v="CUST446"/>
        <s v="CUST447"/>
        <s v="CUST448"/>
        <s v="CUST449"/>
        <s v="CUST450"/>
        <s v="CUST451"/>
        <s v="CUST452"/>
        <s v="CUST453"/>
        <s v="CUST454"/>
        <s v="CUST455"/>
        <s v="CUST456"/>
        <s v="CUST457"/>
        <s v="CUST458"/>
        <s v="CUST459"/>
        <s v="CUST460"/>
        <s v="CUST461"/>
        <s v="CUST462"/>
        <s v="CUST463"/>
        <s v="CUST464"/>
        <s v="CUST465"/>
        <s v="CUST466"/>
        <s v="CUST467"/>
        <s v="CUST468"/>
        <s v="CUST469"/>
        <s v="CUST470"/>
        <s v="CUST471"/>
        <s v="CUST472"/>
        <s v="CUST473"/>
        <s v="CUST474"/>
        <s v="CUST475"/>
        <s v="CUST476"/>
        <s v="CUST477"/>
        <s v="CUST478"/>
        <s v="CUST479"/>
        <s v="CUST480"/>
        <s v="CUST481"/>
        <s v="CUST482"/>
        <s v="CUST483"/>
        <s v="CUST484"/>
        <s v="CUST485"/>
        <s v="CUST486"/>
        <s v="CUST487"/>
        <s v="CUST488"/>
        <s v="CUST489"/>
        <s v="CUST490"/>
        <s v="CUST491"/>
        <s v="CUST492"/>
        <s v="CUST493"/>
        <s v="CUST494"/>
        <s v="CUST495"/>
        <s v="CUST496"/>
        <s v="CUST497"/>
        <s v="CUST498"/>
        <s v="CUST499"/>
        <s v="CUST500"/>
        <s v="CUST501"/>
        <s v="CUST502"/>
        <s v="CUST503"/>
        <s v="CUST504"/>
        <s v="CUST505"/>
        <s v="CUST506"/>
        <s v="CUST507"/>
        <s v="CUST508"/>
        <s v="CUST509"/>
        <s v="CUST510"/>
        <s v="CUST511"/>
        <s v="CUST512"/>
        <s v="CUST513"/>
        <s v="CUST514"/>
        <s v="CUST515"/>
        <s v="CUST516"/>
        <s v="CUST517"/>
        <s v="CUST518"/>
        <s v="CUST519"/>
        <s v="CUST520"/>
        <s v="CUST521"/>
        <s v="CUST522"/>
        <s v="CUST523"/>
        <s v="CUST524"/>
        <s v="CUST525"/>
        <s v="CUST526"/>
        <s v="CUST527"/>
        <s v="CUST528"/>
        <s v="CUST529"/>
        <s v="CUST530"/>
        <s v="CUST531"/>
        <s v="CUST532"/>
        <s v="CUST533"/>
        <s v="CUST534"/>
        <s v="CUST535"/>
        <s v="CUST536"/>
        <s v="CUST537"/>
        <s v="CUST538"/>
        <s v="CUST539"/>
        <s v="CUST540"/>
        <s v="CUST541"/>
        <s v="CUST542"/>
        <s v="CUST543"/>
        <s v="CUST544"/>
        <s v="CUST545"/>
        <s v="CUST546"/>
        <s v="CUST547"/>
        <s v="CUST548"/>
        <s v="CUST549"/>
        <s v="CUST550"/>
        <s v="CUST551"/>
        <s v="CUST552"/>
        <s v="CUST553"/>
        <s v="CUST554"/>
        <s v="CUST555"/>
        <s v="CUST556"/>
        <s v="CUST557"/>
        <s v="CUST558"/>
        <s v="CUST559"/>
        <s v="CUST560"/>
        <s v="CUST561"/>
        <s v="CUST562"/>
        <s v="CUST563"/>
        <s v="CUST564"/>
        <s v="CUST565"/>
        <s v="CUST566"/>
        <s v="CUST567"/>
        <s v="CUST568"/>
        <s v="CUST569"/>
        <s v="CUST570"/>
        <s v="CUST571"/>
        <s v="CUST572"/>
        <s v="CUST573"/>
        <s v="CUST574"/>
        <s v="CUST575"/>
        <s v="CUST576"/>
        <s v="CUST577"/>
        <s v="CUST578"/>
        <s v="CUST579"/>
        <s v="CUST580"/>
        <s v="CUST581"/>
        <s v="CUST582"/>
        <s v="CUST583"/>
        <s v="CUST584"/>
        <s v="CUST585"/>
        <s v="CUST586"/>
        <s v="CUST587"/>
        <s v="CUST588"/>
        <s v="CUST589"/>
        <s v="CUST590"/>
        <s v="CUST591"/>
        <s v="CUST592"/>
        <s v="CUST593"/>
        <s v="CUST594"/>
        <s v="CUST595"/>
        <s v="CUST596"/>
        <s v="CUST597"/>
        <s v="CUST598"/>
        <s v="CUST599"/>
        <s v="CUST600"/>
        <s v="CUST601"/>
        <s v="CUST602"/>
        <s v="CUST603"/>
        <s v="CUST604"/>
        <s v="CUST605"/>
        <s v="CUST606"/>
        <s v="CUST607"/>
        <s v="CUST608"/>
        <s v="CUST609"/>
        <s v="CUST610"/>
        <s v="CUST611"/>
        <s v="CUST612"/>
        <s v="CUST613"/>
        <s v="CUST614"/>
        <s v="CUST615"/>
        <s v="CUST616"/>
        <s v="CUST617"/>
        <s v="CUST618"/>
        <s v="CUST619"/>
        <s v="CUST620"/>
        <s v="CUST621"/>
        <s v="CUST622"/>
        <s v="CUST623"/>
        <s v="CUST624"/>
        <s v="CUST625"/>
        <s v="CUST626"/>
        <s v="CUST627"/>
        <s v="CUST628"/>
        <s v="CUST629"/>
        <s v="CUST630"/>
        <s v="CUST631"/>
        <s v="CUST632"/>
        <s v="CUST633"/>
        <s v="CUST634"/>
        <s v="CUST635"/>
        <s v="CUST636"/>
        <s v="CUST637"/>
        <s v="CUST638"/>
        <s v="CUST639"/>
        <s v="CUST640"/>
        <s v="CUST641"/>
        <s v="CUST642"/>
        <s v="CUST643"/>
        <s v="CUST644"/>
        <s v="CUST645"/>
        <s v="CUST646"/>
        <s v="CUST647"/>
        <s v="CUST648"/>
        <s v="CUST649"/>
        <s v="CUST650"/>
        <s v="CUST651"/>
        <s v="CUST652"/>
        <s v="CUST653"/>
        <s v="CUST654"/>
        <s v="CUST655"/>
        <s v="CUST656"/>
        <s v="CUST657"/>
        <s v="CUST658"/>
        <s v="CUST659"/>
        <s v="CUST660"/>
        <s v="CUST661"/>
        <s v="CUST662"/>
        <s v="CUST663"/>
        <s v="CUST664"/>
        <s v="CUST665"/>
        <s v="CUST666"/>
        <s v="CUST667"/>
        <s v="CUST668"/>
        <s v="CUST669"/>
        <s v="CUST670"/>
        <s v="CUST671"/>
        <s v="CUST672"/>
        <s v="CUST673"/>
        <s v="CUST674"/>
        <s v="CUST675"/>
        <s v="CUST676"/>
        <s v="CUST677"/>
        <s v="CUST678"/>
        <s v="CUST679"/>
        <s v="CUST680"/>
        <s v="CUST681"/>
        <s v="CUST682"/>
        <s v="CUST683"/>
        <s v="CUST684"/>
        <s v="CUST685"/>
        <s v="CUST686"/>
        <s v="CUST687"/>
        <s v="CUST688"/>
        <s v="CUST689"/>
        <s v="CUST690"/>
        <s v="CUST691"/>
        <s v="CUST692"/>
        <s v="CUST693"/>
        <s v="CUST694"/>
        <s v="CUST695"/>
        <s v="CUST696"/>
        <s v="CUST697"/>
        <s v="CUST698"/>
        <s v="CUST699"/>
        <s v="CUST700"/>
        <s v="CUST701"/>
        <s v="CUST702"/>
        <s v="CUST703"/>
        <s v="CUST704"/>
        <s v="CUST705"/>
        <s v="CUST706"/>
        <s v="CUST707"/>
        <s v="CUST708"/>
        <s v="CUST709"/>
        <s v="CUST710"/>
        <s v="CUST711"/>
        <s v="CUST712"/>
        <s v="CUST713"/>
        <s v="CUST714"/>
        <s v="CUST715"/>
        <s v="CUST716"/>
        <s v="CUST717"/>
        <s v="CUST718"/>
        <s v="CUST719"/>
        <s v="CUST720"/>
        <s v="CUST721"/>
        <s v="CUST722"/>
        <s v="CUST723"/>
        <s v="CUST724"/>
        <s v="CUST725"/>
        <s v="CUST726"/>
        <s v="CUST727"/>
        <s v="CUST728"/>
        <s v="CUST729"/>
        <s v="CUST730"/>
        <s v="CUST731"/>
        <s v="CUST732"/>
        <s v="CUST733"/>
        <s v="CUST734"/>
        <s v="CUST735"/>
        <s v="CUST736"/>
        <s v="CUST737"/>
        <s v="CUST738"/>
        <s v="CUST739"/>
        <s v="CUST740"/>
        <s v="CUST741"/>
        <s v="CUST742"/>
        <s v="CUST743"/>
        <s v="CUST744"/>
        <s v="CUST745"/>
        <s v="CUST746"/>
        <s v="CUST747"/>
        <s v="CUST748"/>
        <s v="CUST749"/>
        <s v="CUST750"/>
        <s v="CUST751"/>
        <s v="CUST752"/>
        <s v="CUST753"/>
        <s v="CUST754"/>
        <s v="CUST755"/>
        <s v="CUST756"/>
        <s v="CUST757"/>
        <s v="CUST758"/>
        <s v="CUST759"/>
        <s v="CUST760"/>
        <s v="CUST761"/>
        <s v="CUST762"/>
        <s v="CUST763"/>
        <s v="CUST764"/>
        <s v="CUST765"/>
        <s v="CUST766"/>
        <s v="CUST767"/>
        <s v="CUST768"/>
        <s v="CUST769"/>
        <s v="CUST770"/>
        <s v="CUST771"/>
        <s v="CUST772"/>
        <s v="CUST773"/>
        <s v="CUST774"/>
        <s v="CUST775"/>
        <s v="CUST776"/>
        <s v="CUST777"/>
        <s v="CUST778"/>
        <s v="CUST779"/>
        <s v="CUST780"/>
        <s v="CUST781"/>
        <s v="CUST782"/>
        <s v="CUST783"/>
        <s v="CUST784"/>
        <s v="CUST785"/>
        <s v="CUST786"/>
        <s v="CUST787"/>
        <s v="CUST788"/>
        <s v="CUST789"/>
        <s v="CUST790"/>
        <s v="CUST791"/>
        <s v="CUST792"/>
        <s v="CUST793"/>
        <s v="CUST794"/>
        <s v="CUST795"/>
        <s v="CUST796"/>
        <s v="CUST797"/>
        <s v="CUST798"/>
        <s v="CUST799"/>
        <s v="CUST800"/>
        <s v="CUST801"/>
        <s v="CUST802"/>
        <s v="CUST803"/>
        <s v="CUST804"/>
        <s v="CUST805"/>
        <s v="CUST806"/>
        <s v="CUST807"/>
        <s v="CUST808"/>
        <s v="CUST809"/>
        <s v="CUST810"/>
        <s v="CUST811"/>
        <s v="CUST812"/>
        <s v="CUST813"/>
        <s v="CUST814"/>
        <s v="CUST815"/>
        <s v="CUST816"/>
        <s v="CUST817"/>
        <s v="CUST818"/>
        <s v="CUST819"/>
        <s v="CUST820"/>
        <s v="CUST821"/>
        <s v="CUST822"/>
        <s v="CUST823"/>
        <s v="CUST824"/>
        <s v="CUST825"/>
        <s v="CUST826"/>
        <s v="CUST827"/>
        <s v="CUST828"/>
        <s v="CUST829"/>
        <s v="CUST830"/>
        <s v="CUST831"/>
        <s v="CUST832"/>
        <s v="CUST833"/>
        <s v="CUST834"/>
        <s v="CUST835"/>
        <s v="CUST836"/>
        <s v="CUST837"/>
        <s v="CUST838"/>
        <s v="CUST839"/>
        <s v="CUST840"/>
        <s v="CUST841"/>
        <s v="CUST842"/>
        <s v="CUST843"/>
        <s v="CUST844"/>
        <s v="CUST845"/>
        <s v="CUST846"/>
        <s v="CUST847"/>
        <s v="CUST848"/>
        <s v="CUST849"/>
        <s v="CUST850"/>
        <s v="CUST851"/>
        <s v="CUST852"/>
        <s v="CUST853"/>
        <s v="CUST854"/>
        <s v="CUST855"/>
        <s v="CUST856"/>
        <s v="CUST857"/>
        <s v="CUST858"/>
        <s v="CUST859"/>
        <s v="CUST860"/>
        <s v="CUST861"/>
        <s v="CUST862"/>
        <s v="CUST863"/>
        <s v="CUST864"/>
        <s v="CUST865"/>
        <s v="CUST866"/>
        <s v="CUST867"/>
        <s v="CUST868"/>
        <s v="CUST869"/>
        <s v="CUST870"/>
        <s v="CUST871"/>
        <s v="CUST872"/>
        <s v="CUST873"/>
        <s v="CUST874"/>
        <s v="CUST875"/>
        <s v="CUST876"/>
        <s v="CUST877"/>
        <s v="CUST878"/>
        <s v="CUST879"/>
        <s v="CUST880"/>
        <s v="CUST881"/>
        <s v="CUST882"/>
        <s v="CUST883"/>
        <s v="CUST884"/>
        <s v="CUST885"/>
        <s v="CUST886"/>
        <s v="CUST887"/>
        <s v="CUST888"/>
        <s v="CUST889"/>
        <s v="CUST890"/>
        <s v="CUST891"/>
        <s v="CUST892"/>
        <s v="CUST893"/>
        <s v="CUST894"/>
        <s v="CUST895"/>
        <s v="CUST896"/>
        <s v="CUST897"/>
        <s v="CUST898"/>
        <s v="CUST899"/>
        <s v="CUST900"/>
        <s v="CUST901"/>
        <s v="CUST902"/>
        <s v="CUST903"/>
        <s v="CUST904"/>
        <s v="CUST905"/>
        <s v="CUST906"/>
        <s v="CUST907"/>
        <s v="CUST908"/>
        <s v="CUST909"/>
        <s v="CUST910"/>
        <s v="CUST911"/>
        <s v="CUST912"/>
        <s v="CUST913"/>
        <s v="CUST914"/>
        <s v="CUST915"/>
        <s v="CUST916"/>
        <s v="CUST917"/>
        <s v="CUST918"/>
        <s v="CUST919"/>
        <s v="CUST920"/>
        <s v="CUST921"/>
        <s v="CUST922"/>
        <s v="CUST923"/>
        <s v="CUST924"/>
        <s v="CUST925"/>
        <s v="CUST926"/>
        <s v="CUST927"/>
        <s v="CUST928"/>
        <s v="CUST929"/>
        <s v="CUST930"/>
        <s v="CUST931"/>
        <s v="CUST932"/>
        <s v="CUST933"/>
        <s v="CUST934"/>
        <s v="CUST935"/>
        <s v="CUST936"/>
        <s v="CUST937"/>
        <s v="CUST938"/>
        <s v="CUST939"/>
        <s v="CUST940"/>
        <s v="CUST941"/>
        <s v="CUST942"/>
        <s v="CUST943"/>
        <s v="CUST944"/>
        <s v="CUST945"/>
        <s v="CUST946"/>
        <s v="CUST947"/>
        <s v="CUST948"/>
        <s v="CUST949"/>
        <s v="CUST950"/>
        <s v="CUST951"/>
        <s v="CUST952"/>
        <s v="CUST953"/>
        <s v="CUST954"/>
        <s v="CUST955"/>
        <s v="CUST956"/>
        <s v="CUST957"/>
        <s v="CUST958"/>
        <s v="CUST959"/>
        <s v="CUST960"/>
        <s v="CUST961"/>
        <s v="CUST962"/>
        <s v="CUST963"/>
        <s v="CUST964"/>
        <s v="CUST965"/>
        <s v="CUST966"/>
        <s v="CUST967"/>
        <s v="CUST968"/>
        <s v="CUST969"/>
        <s v="CUST970"/>
        <s v="CUST971"/>
        <s v="CUST972"/>
        <s v="CUST973"/>
        <s v="CUST974"/>
        <s v="CUST975"/>
        <s v="CUST976"/>
        <s v="CUST977"/>
        <s v="CUST978"/>
        <s v="CUST979"/>
        <s v="CUST980"/>
        <s v="CUST981"/>
        <s v="CUST982"/>
        <s v="CUST983"/>
        <s v="CUST984"/>
        <s v="CUST985"/>
        <s v="CUST986"/>
        <s v="CUST987"/>
        <s v="CUST988"/>
        <s v="CUST989"/>
        <s v="CUST990"/>
        <s v="CUST991"/>
        <s v="CUST992"/>
        <s v="CUST993"/>
        <s v="CUST994"/>
        <s v="CUST995"/>
        <s v="CUST996"/>
        <s v="CUST997"/>
        <s v="CUST998"/>
        <s v="CUST999"/>
        <s v="CUST1000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8" maxValue="64"/>
    </cacheField>
    <cacheField name="Age category" numFmtId="0">
      <sharedItems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isri" refreshedDate="46003.461511574074" createdVersion="8" refreshedVersion="8" minRefreshableVersion="3" recordCount="1000" xr:uid="{8D5A0DB0-B75D-4ED9-B737-ABF22DB982AC}">
  <cacheSource type="worksheet">
    <worksheetSource name="Table1"/>
  </cacheSource>
  <cacheFields count="10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 count="1000">
        <s v="CUST001"/>
        <s v="CUST002"/>
        <s v="CUST003"/>
        <s v="CUST004"/>
        <s v="CUST005"/>
        <s v="CUST006"/>
        <s v="CUST007"/>
        <s v="CUST008"/>
        <s v="CUST009"/>
        <s v="CUST010"/>
        <s v="CUST011"/>
        <s v="CUST012"/>
        <s v="CUST013"/>
        <s v="CUST014"/>
        <s v="CUST015"/>
        <s v="CUST016"/>
        <s v="CUST017"/>
        <s v="CUST018"/>
        <s v="CUST019"/>
        <s v="CUST020"/>
        <s v="CUST021"/>
        <s v="CUST022"/>
        <s v="CUST023"/>
        <s v="CUST024"/>
        <s v="CUST025"/>
        <s v="CUST026"/>
        <s v="CUST027"/>
        <s v="CUST028"/>
        <s v="CUST029"/>
        <s v="CUST030"/>
        <s v="CUST031"/>
        <s v="CUST032"/>
        <s v="CUST033"/>
        <s v="CUST034"/>
        <s v="CUST035"/>
        <s v="CUST036"/>
        <s v="CUST037"/>
        <s v="CUST038"/>
        <s v="CUST039"/>
        <s v="CUST040"/>
        <s v="CUST041"/>
        <s v="CUST042"/>
        <s v="CUST043"/>
        <s v="CUST044"/>
        <s v="CUST045"/>
        <s v="CUST046"/>
        <s v="CUST047"/>
        <s v="CUST048"/>
        <s v="CUST049"/>
        <s v="CUST050"/>
        <s v="CUST051"/>
        <s v="CUST052"/>
        <s v="CUST053"/>
        <s v="CUST054"/>
        <s v="CUST055"/>
        <s v="CUST056"/>
        <s v="CUST057"/>
        <s v="CUST058"/>
        <s v="CUST059"/>
        <s v="CUST060"/>
        <s v="CUST061"/>
        <s v="CUST062"/>
        <s v="CUST063"/>
        <s v="CUST064"/>
        <s v="CUST065"/>
        <s v="CUST066"/>
        <s v="CUST067"/>
        <s v="CUST068"/>
        <s v="CUST069"/>
        <s v="CUST070"/>
        <s v="CUST071"/>
        <s v="CUST072"/>
        <s v="CUST073"/>
        <s v="CUST074"/>
        <s v="CUST075"/>
        <s v="CUST076"/>
        <s v="CUST077"/>
        <s v="CUST078"/>
        <s v="CUST079"/>
        <s v="CUST080"/>
        <s v="CUST081"/>
        <s v="CUST082"/>
        <s v="CUST083"/>
        <s v="CUST084"/>
        <s v="CUST085"/>
        <s v="CUST086"/>
        <s v="CUST087"/>
        <s v="CUST088"/>
        <s v="CUST089"/>
        <s v="CUST090"/>
        <s v="CUST091"/>
        <s v="CUST092"/>
        <s v="CUST093"/>
        <s v="CUST094"/>
        <s v="CUST095"/>
        <s v="CUST096"/>
        <s v="CUST097"/>
        <s v="CUST098"/>
        <s v="CUST099"/>
        <s v="CUST100"/>
        <s v="CUST101"/>
        <s v="CUST102"/>
        <s v="CUST103"/>
        <s v="CUST104"/>
        <s v="CUST105"/>
        <s v="CUST106"/>
        <s v="CUST107"/>
        <s v="CUST108"/>
        <s v="CUST109"/>
        <s v="CUST110"/>
        <s v="CUST111"/>
        <s v="CUST112"/>
        <s v="CUST113"/>
        <s v="CUST114"/>
        <s v="CUST115"/>
        <s v="CUST116"/>
        <s v="CUST117"/>
        <s v="CUST118"/>
        <s v="CUST119"/>
        <s v="CUST120"/>
        <s v="CUST121"/>
        <s v="CUST122"/>
        <s v="CUST123"/>
        <s v="CUST124"/>
        <s v="CUST125"/>
        <s v="CUST126"/>
        <s v="CUST127"/>
        <s v="CUST128"/>
        <s v="CUST129"/>
        <s v="CUST130"/>
        <s v="CUST131"/>
        <s v="CUST132"/>
        <s v="CUST133"/>
        <s v="CUST134"/>
        <s v="CUST135"/>
        <s v="CUST136"/>
        <s v="CUST137"/>
        <s v="CUST138"/>
        <s v="CUST139"/>
        <s v="CUST140"/>
        <s v="CUST141"/>
        <s v="CUST142"/>
        <s v="CUST143"/>
        <s v="CUST144"/>
        <s v="CUST145"/>
        <s v="CUST146"/>
        <s v="CUST147"/>
        <s v="CUST148"/>
        <s v="CUST149"/>
        <s v="CUST150"/>
        <s v="CUST151"/>
        <s v="CUST152"/>
        <s v="CUST153"/>
        <s v="CUST154"/>
        <s v="CUST155"/>
        <s v="CUST156"/>
        <s v="CUST157"/>
        <s v="CUST158"/>
        <s v="CUST159"/>
        <s v="CUST160"/>
        <s v="CUST161"/>
        <s v="CUST162"/>
        <s v="CUST163"/>
        <s v="CUST164"/>
        <s v="CUST165"/>
        <s v="CUST166"/>
        <s v="CUST167"/>
        <s v="CUST168"/>
        <s v="CUST169"/>
        <s v="CUST170"/>
        <s v="CUST171"/>
        <s v="CUST172"/>
        <s v="CUST173"/>
        <s v="CUST174"/>
        <s v="CUST175"/>
        <s v="CUST176"/>
        <s v="CUST177"/>
        <s v="CUST178"/>
        <s v="CUST179"/>
        <s v="CUST180"/>
        <s v="CUST181"/>
        <s v="CUST182"/>
        <s v="CUST183"/>
        <s v="CUST184"/>
        <s v="CUST185"/>
        <s v="CUST186"/>
        <s v="CUST187"/>
        <s v="CUST188"/>
        <s v="CUST189"/>
        <s v="CUST190"/>
        <s v="CUST191"/>
        <s v="CUST192"/>
        <s v="CUST193"/>
        <s v="CUST194"/>
        <s v="CUST195"/>
        <s v="CUST196"/>
        <s v="CUST197"/>
        <s v="CUST198"/>
        <s v="CUST199"/>
        <s v="CUST200"/>
        <s v="CUST201"/>
        <s v="CUST202"/>
        <s v="CUST203"/>
        <s v="CUST204"/>
        <s v="CUST205"/>
        <s v="CUST206"/>
        <s v="CUST207"/>
        <s v="CUST208"/>
        <s v="CUST209"/>
        <s v="CUST210"/>
        <s v="CUST211"/>
        <s v="CUST212"/>
        <s v="CUST213"/>
        <s v="CUST214"/>
        <s v="CUST215"/>
        <s v="CUST216"/>
        <s v="CUST217"/>
        <s v="CUST218"/>
        <s v="CUST219"/>
        <s v="CUST220"/>
        <s v="CUST221"/>
        <s v="CUST222"/>
        <s v="CUST223"/>
        <s v="CUST224"/>
        <s v="CUST225"/>
        <s v="CUST226"/>
        <s v="CUST227"/>
        <s v="CUST228"/>
        <s v="CUST229"/>
        <s v="CUST230"/>
        <s v="CUST231"/>
        <s v="CUST232"/>
        <s v="CUST233"/>
        <s v="CUST234"/>
        <s v="CUST235"/>
        <s v="CUST236"/>
        <s v="CUST237"/>
        <s v="CUST238"/>
        <s v="CUST239"/>
        <s v="CUST240"/>
        <s v="CUST241"/>
        <s v="CUST242"/>
        <s v="CUST243"/>
        <s v="CUST244"/>
        <s v="CUST245"/>
        <s v="CUST246"/>
        <s v="CUST247"/>
        <s v="CUST248"/>
        <s v="CUST249"/>
        <s v="CUST250"/>
        <s v="CUST251"/>
        <s v="CUST252"/>
        <s v="CUST253"/>
        <s v="CUST254"/>
        <s v="CUST255"/>
        <s v="CUST256"/>
        <s v="CUST257"/>
        <s v="CUST258"/>
        <s v="CUST259"/>
        <s v="CUST260"/>
        <s v="CUST261"/>
        <s v="CUST262"/>
        <s v="CUST263"/>
        <s v="CUST264"/>
        <s v="CUST265"/>
        <s v="CUST266"/>
        <s v="CUST267"/>
        <s v="CUST268"/>
        <s v="CUST269"/>
        <s v="CUST270"/>
        <s v="CUST271"/>
        <s v="CUST272"/>
        <s v="CUST273"/>
        <s v="CUST274"/>
        <s v="CUST275"/>
        <s v="CUST276"/>
        <s v="CUST277"/>
        <s v="CUST278"/>
        <s v="CUST279"/>
        <s v="CUST280"/>
        <s v="CUST281"/>
        <s v="CUST282"/>
        <s v="CUST283"/>
        <s v="CUST284"/>
        <s v="CUST285"/>
        <s v="CUST286"/>
        <s v="CUST287"/>
        <s v="CUST288"/>
        <s v="CUST289"/>
        <s v="CUST290"/>
        <s v="CUST291"/>
        <s v="CUST292"/>
        <s v="CUST293"/>
        <s v="CUST294"/>
        <s v="CUST295"/>
        <s v="CUST296"/>
        <s v="CUST297"/>
        <s v="CUST298"/>
        <s v="CUST299"/>
        <s v="CUST300"/>
        <s v="CUST301"/>
        <s v="CUST302"/>
        <s v="CUST303"/>
        <s v="CUST304"/>
        <s v="CUST305"/>
        <s v="CUST306"/>
        <s v="CUST307"/>
        <s v="CUST308"/>
        <s v="CUST309"/>
        <s v="CUST310"/>
        <s v="CUST311"/>
        <s v="CUST312"/>
        <s v="CUST313"/>
        <s v="CUST314"/>
        <s v="CUST315"/>
        <s v="CUST316"/>
        <s v="CUST317"/>
        <s v="CUST318"/>
        <s v="CUST319"/>
        <s v="CUST320"/>
        <s v="CUST321"/>
        <s v="CUST322"/>
        <s v="CUST323"/>
        <s v="CUST324"/>
        <s v="CUST325"/>
        <s v="CUST326"/>
        <s v="CUST327"/>
        <s v="CUST328"/>
        <s v="CUST329"/>
        <s v="CUST330"/>
        <s v="CUST331"/>
        <s v="CUST332"/>
        <s v="CUST333"/>
        <s v="CUST334"/>
        <s v="CUST335"/>
        <s v="CUST336"/>
        <s v="CUST337"/>
        <s v="CUST338"/>
        <s v="CUST339"/>
        <s v="CUST340"/>
        <s v="CUST341"/>
        <s v="CUST342"/>
        <s v="CUST343"/>
        <s v="CUST344"/>
        <s v="CUST345"/>
        <s v="CUST346"/>
        <s v="CUST347"/>
        <s v="CUST348"/>
        <s v="CUST349"/>
        <s v="CUST350"/>
        <s v="CUST351"/>
        <s v="CUST352"/>
        <s v="CUST353"/>
        <s v="CUST354"/>
        <s v="CUST355"/>
        <s v="CUST356"/>
        <s v="CUST357"/>
        <s v="CUST358"/>
        <s v="CUST359"/>
        <s v="CUST360"/>
        <s v="CUST361"/>
        <s v="CUST362"/>
        <s v="CUST363"/>
        <s v="CUST364"/>
        <s v="CUST365"/>
        <s v="CUST366"/>
        <s v="CUST367"/>
        <s v="CUST368"/>
        <s v="CUST369"/>
        <s v="CUST370"/>
        <s v="CUST371"/>
        <s v="CUST372"/>
        <s v="CUST373"/>
        <s v="CUST374"/>
        <s v="CUST375"/>
        <s v="CUST376"/>
        <s v="CUST377"/>
        <s v="CUST378"/>
        <s v="CUST379"/>
        <s v="CUST380"/>
        <s v="CUST381"/>
        <s v="CUST382"/>
        <s v="CUST383"/>
        <s v="CUST384"/>
        <s v="CUST385"/>
        <s v="CUST386"/>
        <s v="CUST387"/>
        <s v="CUST388"/>
        <s v="CUST389"/>
        <s v="CUST390"/>
        <s v="CUST391"/>
        <s v="CUST392"/>
        <s v="CUST393"/>
        <s v="CUST394"/>
        <s v="CUST395"/>
        <s v="CUST396"/>
        <s v="CUST397"/>
        <s v="CUST398"/>
        <s v="CUST399"/>
        <s v="CUST400"/>
        <s v="CUST401"/>
        <s v="CUST402"/>
        <s v="CUST403"/>
        <s v="CUST404"/>
        <s v="CUST405"/>
        <s v="CUST406"/>
        <s v="CUST407"/>
        <s v="CUST408"/>
        <s v="CUST409"/>
        <s v="CUST410"/>
        <s v="CUST411"/>
        <s v="CUST412"/>
        <s v="CUST413"/>
        <s v="CUST414"/>
        <s v="CUST415"/>
        <s v="CUST416"/>
        <s v="CUST417"/>
        <s v="CUST418"/>
        <s v="CUST419"/>
        <s v="CUST420"/>
        <s v="CUST421"/>
        <s v="CUST422"/>
        <s v="CUST423"/>
        <s v="CUST424"/>
        <s v="CUST425"/>
        <s v="CUST426"/>
        <s v="CUST427"/>
        <s v="CUST428"/>
        <s v="CUST429"/>
        <s v="CUST430"/>
        <s v="CUST431"/>
        <s v="CUST432"/>
        <s v="CUST433"/>
        <s v="CUST434"/>
        <s v="CUST435"/>
        <s v="CUST436"/>
        <s v="CUST437"/>
        <s v="CUST438"/>
        <s v="CUST439"/>
        <s v="CUST440"/>
        <s v="CUST441"/>
        <s v="CUST442"/>
        <s v="CUST443"/>
        <s v="CUST444"/>
        <s v="CUST445"/>
        <s v="CUST446"/>
        <s v="CUST447"/>
        <s v="CUST448"/>
        <s v="CUST449"/>
        <s v="CUST450"/>
        <s v="CUST451"/>
        <s v="CUST452"/>
        <s v="CUST453"/>
        <s v="CUST454"/>
        <s v="CUST455"/>
        <s v="CUST456"/>
        <s v="CUST457"/>
        <s v="CUST458"/>
        <s v="CUST459"/>
        <s v="CUST460"/>
        <s v="CUST461"/>
        <s v="CUST462"/>
        <s v="CUST463"/>
        <s v="CUST464"/>
        <s v="CUST465"/>
        <s v="CUST466"/>
        <s v="CUST467"/>
        <s v="CUST468"/>
        <s v="CUST469"/>
        <s v="CUST470"/>
        <s v="CUST471"/>
        <s v="CUST472"/>
        <s v="CUST473"/>
        <s v="CUST474"/>
        <s v="CUST475"/>
        <s v="CUST476"/>
        <s v="CUST477"/>
        <s v="CUST478"/>
        <s v="CUST479"/>
        <s v="CUST480"/>
        <s v="CUST481"/>
        <s v="CUST482"/>
        <s v="CUST483"/>
        <s v="CUST484"/>
        <s v="CUST485"/>
        <s v="CUST486"/>
        <s v="CUST487"/>
        <s v="CUST488"/>
        <s v="CUST489"/>
        <s v="CUST490"/>
        <s v="CUST491"/>
        <s v="CUST492"/>
        <s v="CUST493"/>
        <s v="CUST494"/>
        <s v="CUST495"/>
        <s v="CUST496"/>
        <s v="CUST497"/>
        <s v="CUST498"/>
        <s v="CUST499"/>
        <s v="CUST500"/>
        <s v="CUST501"/>
        <s v="CUST502"/>
        <s v="CUST503"/>
        <s v="CUST504"/>
        <s v="CUST505"/>
        <s v="CUST506"/>
        <s v="CUST507"/>
        <s v="CUST508"/>
        <s v="CUST509"/>
        <s v="CUST510"/>
        <s v="CUST511"/>
        <s v="CUST512"/>
        <s v="CUST513"/>
        <s v="CUST514"/>
        <s v="CUST515"/>
        <s v="CUST516"/>
        <s v="CUST517"/>
        <s v="CUST518"/>
        <s v="CUST519"/>
        <s v="CUST520"/>
        <s v="CUST521"/>
        <s v="CUST522"/>
        <s v="CUST523"/>
        <s v="CUST524"/>
        <s v="CUST525"/>
        <s v="CUST526"/>
        <s v="CUST527"/>
        <s v="CUST528"/>
        <s v="CUST529"/>
        <s v="CUST530"/>
        <s v="CUST531"/>
        <s v="CUST532"/>
        <s v="CUST533"/>
        <s v="CUST534"/>
        <s v="CUST535"/>
        <s v="CUST536"/>
        <s v="CUST537"/>
        <s v="CUST538"/>
        <s v="CUST539"/>
        <s v="CUST540"/>
        <s v="CUST541"/>
        <s v="CUST542"/>
        <s v="CUST543"/>
        <s v="CUST544"/>
        <s v="CUST545"/>
        <s v="CUST546"/>
        <s v="CUST547"/>
        <s v="CUST548"/>
        <s v="CUST549"/>
        <s v="CUST550"/>
        <s v="CUST551"/>
        <s v="CUST552"/>
        <s v="CUST553"/>
        <s v="CUST554"/>
        <s v="CUST555"/>
        <s v="CUST556"/>
        <s v="CUST557"/>
        <s v="CUST558"/>
        <s v="CUST559"/>
        <s v="CUST560"/>
        <s v="CUST561"/>
        <s v="CUST562"/>
        <s v="CUST563"/>
        <s v="CUST564"/>
        <s v="CUST565"/>
        <s v="CUST566"/>
        <s v="CUST567"/>
        <s v="CUST568"/>
        <s v="CUST569"/>
        <s v="CUST570"/>
        <s v="CUST571"/>
        <s v="CUST572"/>
        <s v="CUST573"/>
        <s v="CUST574"/>
        <s v="CUST575"/>
        <s v="CUST576"/>
        <s v="CUST577"/>
        <s v="CUST578"/>
        <s v="CUST579"/>
        <s v="CUST580"/>
        <s v="CUST581"/>
        <s v="CUST582"/>
        <s v="CUST583"/>
        <s v="CUST584"/>
        <s v="CUST585"/>
        <s v="CUST586"/>
        <s v="CUST587"/>
        <s v="CUST588"/>
        <s v="CUST589"/>
        <s v="CUST590"/>
        <s v="CUST591"/>
        <s v="CUST592"/>
        <s v="CUST593"/>
        <s v="CUST594"/>
        <s v="CUST595"/>
        <s v="CUST596"/>
        <s v="CUST597"/>
        <s v="CUST598"/>
        <s v="CUST599"/>
        <s v="CUST600"/>
        <s v="CUST601"/>
        <s v="CUST602"/>
        <s v="CUST603"/>
        <s v="CUST604"/>
        <s v="CUST605"/>
        <s v="CUST606"/>
        <s v="CUST607"/>
        <s v="CUST608"/>
        <s v="CUST609"/>
        <s v="CUST610"/>
        <s v="CUST611"/>
        <s v="CUST612"/>
        <s v="CUST613"/>
        <s v="CUST614"/>
        <s v="CUST615"/>
        <s v="CUST616"/>
        <s v="CUST617"/>
        <s v="CUST618"/>
        <s v="CUST619"/>
        <s v="CUST620"/>
        <s v="CUST621"/>
        <s v="CUST622"/>
        <s v="CUST623"/>
        <s v="CUST624"/>
        <s v="CUST625"/>
        <s v="CUST626"/>
        <s v="CUST627"/>
        <s v="CUST628"/>
        <s v="CUST629"/>
        <s v="CUST630"/>
        <s v="CUST631"/>
        <s v="CUST632"/>
        <s v="CUST633"/>
        <s v="CUST634"/>
        <s v="CUST635"/>
        <s v="CUST636"/>
        <s v="CUST637"/>
        <s v="CUST638"/>
        <s v="CUST639"/>
        <s v="CUST640"/>
        <s v="CUST641"/>
        <s v="CUST642"/>
        <s v="CUST643"/>
        <s v="CUST644"/>
        <s v="CUST645"/>
        <s v="CUST646"/>
        <s v="CUST647"/>
        <s v="CUST648"/>
        <s v="CUST649"/>
        <s v="CUST650"/>
        <s v="CUST651"/>
        <s v="CUST652"/>
        <s v="CUST653"/>
        <s v="CUST654"/>
        <s v="CUST655"/>
        <s v="CUST656"/>
        <s v="CUST657"/>
        <s v="CUST658"/>
        <s v="CUST659"/>
        <s v="CUST660"/>
        <s v="CUST661"/>
        <s v="CUST662"/>
        <s v="CUST663"/>
        <s v="CUST664"/>
        <s v="CUST665"/>
        <s v="CUST666"/>
        <s v="CUST667"/>
        <s v="CUST668"/>
        <s v="CUST669"/>
        <s v="CUST670"/>
        <s v="CUST671"/>
        <s v="CUST672"/>
        <s v="CUST673"/>
        <s v="CUST674"/>
        <s v="CUST675"/>
        <s v="CUST676"/>
        <s v="CUST677"/>
        <s v="CUST678"/>
        <s v="CUST679"/>
        <s v="CUST680"/>
        <s v="CUST681"/>
        <s v="CUST682"/>
        <s v="CUST683"/>
        <s v="CUST684"/>
        <s v="CUST685"/>
        <s v="CUST686"/>
        <s v="CUST687"/>
        <s v="CUST688"/>
        <s v="CUST689"/>
        <s v="CUST690"/>
        <s v="CUST691"/>
        <s v="CUST692"/>
        <s v="CUST693"/>
        <s v="CUST694"/>
        <s v="CUST695"/>
        <s v="CUST696"/>
        <s v="CUST697"/>
        <s v="CUST698"/>
        <s v="CUST699"/>
        <s v="CUST700"/>
        <s v="CUST701"/>
        <s v="CUST702"/>
        <s v="CUST703"/>
        <s v="CUST704"/>
        <s v="CUST705"/>
        <s v="CUST706"/>
        <s v="CUST707"/>
        <s v="CUST708"/>
        <s v="CUST709"/>
        <s v="CUST710"/>
        <s v="CUST711"/>
        <s v="CUST712"/>
        <s v="CUST713"/>
        <s v="CUST714"/>
        <s v="CUST715"/>
        <s v="CUST716"/>
        <s v="CUST717"/>
        <s v="CUST718"/>
        <s v="CUST719"/>
        <s v="CUST720"/>
        <s v="CUST721"/>
        <s v="CUST722"/>
        <s v="CUST723"/>
        <s v="CUST724"/>
        <s v="CUST725"/>
        <s v="CUST726"/>
        <s v="CUST727"/>
        <s v="CUST728"/>
        <s v="CUST729"/>
        <s v="CUST730"/>
        <s v="CUST731"/>
        <s v="CUST732"/>
        <s v="CUST733"/>
        <s v="CUST734"/>
        <s v="CUST735"/>
        <s v="CUST736"/>
        <s v="CUST737"/>
        <s v="CUST738"/>
        <s v="CUST739"/>
        <s v="CUST740"/>
        <s v="CUST741"/>
        <s v="CUST742"/>
        <s v="CUST743"/>
        <s v="CUST744"/>
        <s v="CUST745"/>
        <s v="CUST746"/>
        <s v="CUST747"/>
        <s v="CUST748"/>
        <s v="CUST749"/>
        <s v="CUST750"/>
        <s v="CUST751"/>
        <s v="CUST752"/>
        <s v="CUST753"/>
        <s v="CUST754"/>
        <s v="CUST755"/>
        <s v="CUST756"/>
        <s v="CUST757"/>
        <s v="CUST758"/>
        <s v="CUST759"/>
        <s v="CUST760"/>
        <s v="CUST761"/>
        <s v="CUST762"/>
        <s v="CUST763"/>
        <s v="CUST764"/>
        <s v="CUST765"/>
        <s v="CUST766"/>
        <s v="CUST767"/>
        <s v="CUST768"/>
        <s v="CUST769"/>
        <s v="CUST770"/>
        <s v="CUST771"/>
        <s v="CUST772"/>
        <s v="CUST773"/>
        <s v="CUST774"/>
        <s v="CUST775"/>
        <s v="CUST776"/>
        <s v="CUST777"/>
        <s v="CUST778"/>
        <s v="CUST779"/>
        <s v="CUST780"/>
        <s v="CUST781"/>
        <s v="CUST782"/>
        <s v="CUST783"/>
        <s v="CUST784"/>
        <s v="CUST785"/>
        <s v="CUST786"/>
        <s v="CUST787"/>
        <s v="CUST788"/>
        <s v="CUST789"/>
        <s v="CUST790"/>
        <s v="CUST791"/>
        <s v="CUST792"/>
        <s v="CUST793"/>
        <s v="CUST794"/>
        <s v="CUST795"/>
        <s v="CUST796"/>
        <s v="CUST797"/>
        <s v="CUST798"/>
        <s v="CUST799"/>
        <s v="CUST800"/>
        <s v="CUST801"/>
        <s v="CUST802"/>
        <s v="CUST803"/>
        <s v="CUST804"/>
        <s v="CUST805"/>
        <s v="CUST806"/>
        <s v="CUST807"/>
        <s v="CUST808"/>
        <s v="CUST809"/>
        <s v="CUST810"/>
        <s v="CUST811"/>
        <s v="CUST812"/>
        <s v="CUST813"/>
        <s v="CUST814"/>
        <s v="CUST815"/>
        <s v="CUST816"/>
        <s v="CUST817"/>
        <s v="CUST818"/>
        <s v="CUST819"/>
        <s v="CUST820"/>
        <s v="CUST821"/>
        <s v="CUST822"/>
        <s v="CUST823"/>
        <s v="CUST824"/>
        <s v="CUST825"/>
        <s v="CUST826"/>
        <s v="CUST827"/>
        <s v="CUST828"/>
        <s v="CUST829"/>
        <s v="CUST830"/>
        <s v="CUST831"/>
        <s v="CUST832"/>
        <s v="CUST833"/>
        <s v="CUST834"/>
        <s v="CUST835"/>
        <s v="CUST836"/>
        <s v="CUST837"/>
        <s v="CUST838"/>
        <s v="CUST839"/>
        <s v="CUST840"/>
        <s v="CUST841"/>
        <s v="CUST842"/>
        <s v="CUST843"/>
        <s v="CUST844"/>
        <s v="CUST845"/>
        <s v="CUST846"/>
        <s v="CUST847"/>
        <s v="CUST848"/>
        <s v="CUST849"/>
        <s v="CUST850"/>
        <s v="CUST851"/>
        <s v="CUST852"/>
        <s v="CUST853"/>
        <s v="CUST854"/>
        <s v="CUST855"/>
        <s v="CUST856"/>
        <s v="CUST857"/>
        <s v="CUST858"/>
        <s v="CUST859"/>
        <s v="CUST860"/>
        <s v="CUST861"/>
        <s v="CUST862"/>
        <s v="CUST863"/>
        <s v="CUST864"/>
        <s v="CUST865"/>
        <s v="CUST866"/>
        <s v="CUST867"/>
        <s v="CUST868"/>
        <s v="CUST869"/>
        <s v="CUST870"/>
        <s v="CUST871"/>
        <s v="CUST872"/>
        <s v="CUST873"/>
        <s v="CUST874"/>
        <s v="CUST875"/>
        <s v="CUST876"/>
        <s v="CUST877"/>
        <s v="CUST878"/>
        <s v="CUST879"/>
        <s v="CUST880"/>
        <s v="CUST881"/>
        <s v="CUST882"/>
        <s v="CUST883"/>
        <s v="CUST884"/>
        <s v="CUST885"/>
        <s v="CUST886"/>
        <s v="CUST887"/>
        <s v="CUST888"/>
        <s v="CUST889"/>
        <s v="CUST890"/>
        <s v="CUST891"/>
        <s v="CUST892"/>
        <s v="CUST893"/>
        <s v="CUST894"/>
        <s v="CUST895"/>
        <s v="CUST896"/>
        <s v="CUST897"/>
        <s v="CUST898"/>
        <s v="CUST899"/>
        <s v="CUST900"/>
        <s v="CUST901"/>
        <s v="CUST902"/>
        <s v="CUST903"/>
        <s v="CUST904"/>
        <s v="CUST905"/>
        <s v="CUST906"/>
        <s v="CUST907"/>
        <s v="CUST908"/>
        <s v="CUST909"/>
        <s v="CUST910"/>
        <s v="CUST911"/>
        <s v="CUST912"/>
        <s v="CUST913"/>
        <s v="CUST914"/>
        <s v="CUST915"/>
        <s v="CUST916"/>
        <s v="CUST917"/>
        <s v="CUST918"/>
        <s v="CUST919"/>
        <s v="CUST920"/>
        <s v="CUST921"/>
        <s v="CUST922"/>
        <s v="CUST923"/>
        <s v="CUST924"/>
        <s v="CUST925"/>
        <s v="CUST926"/>
        <s v="CUST927"/>
        <s v="CUST928"/>
        <s v="CUST929"/>
        <s v="CUST930"/>
        <s v="CUST931"/>
        <s v="CUST932"/>
        <s v="CUST933"/>
        <s v="CUST934"/>
        <s v="CUST935"/>
        <s v="CUST936"/>
        <s v="CUST937"/>
        <s v="CUST938"/>
        <s v="CUST939"/>
        <s v="CUST940"/>
        <s v="CUST941"/>
        <s v="CUST942"/>
        <s v="CUST943"/>
        <s v="CUST944"/>
        <s v="CUST945"/>
        <s v="CUST946"/>
        <s v="CUST947"/>
        <s v="CUST948"/>
        <s v="CUST949"/>
        <s v="CUST950"/>
        <s v="CUST951"/>
        <s v="CUST952"/>
        <s v="CUST953"/>
        <s v="CUST954"/>
        <s v="CUST955"/>
        <s v="CUST956"/>
        <s v="CUST957"/>
        <s v="CUST958"/>
        <s v="CUST959"/>
        <s v="CUST960"/>
        <s v="CUST961"/>
        <s v="CUST962"/>
        <s v="CUST963"/>
        <s v="CUST964"/>
        <s v="CUST965"/>
        <s v="CUST966"/>
        <s v="CUST967"/>
        <s v="CUST968"/>
        <s v="CUST969"/>
        <s v="CUST970"/>
        <s v="CUST971"/>
        <s v="CUST972"/>
        <s v="CUST973"/>
        <s v="CUST974"/>
        <s v="CUST975"/>
        <s v="CUST976"/>
        <s v="CUST977"/>
        <s v="CUST978"/>
        <s v="CUST979"/>
        <s v="CUST980"/>
        <s v="CUST981"/>
        <s v="CUST982"/>
        <s v="CUST983"/>
        <s v="CUST984"/>
        <s v="CUST985"/>
        <s v="CUST986"/>
        <s v="CUST987"/>
        <s v="CUST988"/>
        <s v="CUST989"/>
        <s v="CUST990"/>
        <s v="CUST991"/>
        <s v="CUST992"/>
        <s v="CUST993"/>
        <s v="CUST994"/>
        <s v="CUST995"/>
        <s v="CUST996"/>
        <s v="CUST997"/>
        <s v="CUST998"/>
        <s v="CUST999"/>
        <s v="CUST1000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Age category" numFmtId="0">
      <sharedItems count="2">
        <s v="Mid Age"/>
        <s v="Young Age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 count="5">
        <n v="50"/>
        <n v="500"/>
        <n v="30"/>
        <n v="25"/>
        <n v="300"/>
      </sharedItems>
    </cacheField>
    <cacheField name="Total Amount" numFmtId="0">
      <sharedItems containsSemiMixedTypes="0" containsString="0" containsNumber="1" containsInteger="1" minValue="25" maxValue="2000" count="18">
        <n v="150"/>
        <n v="1000"/>
        <n v="30"/>
        <n v="500"/>
        <n v="100"/>
        <n v="50"/>
        <n v="600"/>
        <n v="200"/>
        <n v="75"/>
        <n v="1500"/>
        <n v="120"/>
        <n v="2000"/>
        <n v="900"/>
        <n v="300"/>
        <n v="1200"/>
        <n v="90"/>
        <n v="25"/>
        <n v="6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isri" refreshedDate="46003.46510011574" createdVersion="8" refreshedVersion="8" minRefreshableVersion="3" recordCount="1000" xr:uid="{31CA4103-6237-4335-8335-28F33952E98A}">
  <cacheSource type="worksheet">
    <worksheetSource name="Table1"/>
  </cacheSource>
  <cacheFields count="10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 count="1000">
        <s v="CUST001"/>
        <s v="CUST002"/>
        <s v="CUST003"/>
        <s v="CUST004"/>
        <s v="CUST005"/>
        <s v="CUST006"/>
        <s v="CUST007"/>
        <s v="CUST008"/>
        <s v="CUST009"/>
        <s v="CUST010"/>
        <s v="CUST011"/>
        <s v="CUST012"/>
        <s v="CUST013"/>
        <s v="CUST014"/>
        <s v="CUST015"/>
        <s v="CUST016"/>
        <s v="CUST017"/>
        <s v="CUST018"/>
        <s v="CUST019"/>
        <s v="CUST020"/>
        <s v="CUST021"/>
        <s v="CUST022"/>
        <s v="CUST023"/>
        <s v="CUST024"/>
        <s v="CUST025"/>
        <s v="CUST026"/>
        <s v="CUST027"/>
        <s v="CUST028"/>
        <s v="CUST029"/>
        <s v="CUST030"/>
        <s v="CUST031"/>
        <s v="CUST032"/>
        <s v="CUST033"/>
        <s v="CUST034"/>
        <s v="CUST035"/>
        <s v="CUST036"/>
        <s v="CUST037"/>
        <s v="CUST038"/>
        <s v="CUST039"/>
        <s v="CUST040"/>
        <s v="CUST041"/>
        <s v="CUST042"/>
        <s v="CUST043"/>
        <s v="CUST044"/>
        <s v="CUST045"/>
        <s v="CUST046"/>
        <s v="CUST047"/>
        <s v="CUST048"/>
        <s v="CUST049"/>
        <s v="CUST050"/>
        <s v="CUST051"/>
        <s v="CUST052"/>
        <s v="CUST053"/>
        <s v="CUST054"/>
        <s v="CUST055"/>
        <s v="CUST056"/>
        <s v="CUST057"/>
        <s v="CUST058"/>
        <s v="CUST059"/>
        <s v="CUST060"/>
        <s v="CUST061"/>
        <s v="CUST062"/>
        <s v="CUST063"/>
        <s v="CUST064"/>
        <s v="CUST065"/>
        <s v="CUST066"/>
        <s v="CUST067"/>
        <s v="CUST068"/>
        <s v="CUST069"/>
        <s v="CUST070"/>
        <s v="CUST071"/>
        <s v="CUST072"/>
        <s v="CUST073"/>
        <s v="CUST074"/>
        <s v="CUST075"/>
        <s v="CUST076"/>
        <s v="CUST077"/>
        <s v="CUST078"/>
        <s v="CUST079"/>
        <s v="CUST080"/>
        <s v="CUST081"/>
        <s v="CUST082"/>
        <s v="CUST083"/>
        <s v="CUST084"/>
        <s v="CUST085"/>
        <s v="CUST086"/>
        <s v="CUST087"/>
        <s v="CUST088"/>
        <s v="CUST089"/>
        <s v="CUST090"/>
        <s v="CUST091"/>
        <s v="CUST092"/>
        <s v="CUST093"/>
        <s v="CUST094"/>
        <s v="CUST095"/>
        <s v="CUST096"/>
        <s v="CUST097"/>
        <s v="CUST098"/>
        <s v="CUST099"/>
        <s v="CUST100"/>
        <s v="CUST101"/>
        <s v="CUST102"/>
        <s v="CUST103"/>
        <s v="CUST104"/>
        <s v="CUST105"/>
        <s v="CUST106"/>
        <s v="CUST107"/>
        <s v="CUST108"/>
        <s v="CUST109"/>
        <s v="CUST110"/>
        <s v="CUST111"/>
        <s v="CUST112"/>
        <s v="CUST113"/>
        <s v="CUST114"/>
        <s v="CUST115"/>
        <s v="CUST116"/>
        <s v="CUST117"/>
        <s v="CUST118"/>
        <s v="CUST119"/>
        <s v="CUST120"/>
        <s v="CUST121"/>
        <s v="CUST122"/>
        <s v="CUST123"/>
        <s v="CUST124"/>
        <s v="CUST125"/>
        <s v="CUST126"/>
        <s v="CUST127"/>
        <s v="CUST128"/>
        <s v="CUST129"/>
        <s v="CUST130"/>
        <s v="CUST131"/>
        <s v="CUST132"/>
        <s v="CUST133"/>
        <s v="CUST134"/>
        <s v="CUST135"/>
        <s v="CUST136"/>
        <s v="CUST137"/>
        <s v="CUST138"/>
        <s v="CUST139"/>
        <s v="CUST140"/>
        <s v="CUST141"/>
        <s v="CUST142"/>
        <s v="CUST143"/>
        <s v="CUST144"/>
        <s v="CUST145"/>
        <s v="CUST146"/>
        <s v="CUST147"/>
        <s v="CUST148"/>
        <s v="CUST149"/>
        <s v="CUST150"/>
        <s v="CUST151"/>
        <s v="CUST152"/>
        <s v="CUST153"/>
        <s v="CUST154"/>
        <s v="CUST155"/>
        <s v="CUST156"/>
        <s v="CUST157"/>
        <s v="CUST158"/>
        <s v="CUST159"/>
        <s v="CUST160"/>
        <s v="CUST161"/>
        <s v="CUST162"/>
        <s v="CUST163"/>
        <s v="CUST164"/>
        <s v="CUST165"/>
        <s v="CUST166"/>
        <s v="CUST167"/>
        <s v="CUST168"/>
        <s v="CUST169"/>
        <s v="CUST170"/>
        <s v="CUST171"/>
        <s v="CUST172"/>
        <s v="CUST173"/>
        <s v="CUST174"/>
        <s v="CUST175"/>
        <s v="CUST176"/>
        <s v="CUST177"/>
        <s v="CUST178"/>
        <s v="CUST179"/>
        <s v="CUST180"/>
        <s v="CUST181"/>
        <s v="CUST182"/>
        <s v="CUST183"/>
        <s v="CUST184"/>
        <s v="CUST185"/>
        <s v="CUST186"/>
        <s v="CUST187"/>
        <s v="CUST188"/>
        <s v="CUST189"/>
        <s v="CUST190"/>
        <s v="CUST191"/>
        <s v="CUST192"/>
        <s v="CUST193"/>
        <s v="CUST194"/>
        <s v="CUST195"/>
        <s v="CUST196"/>
        <s v="CUST197"/>
        <s v="CUST198"/>
        <s v="CUST199"/>
        <s v="CUST200"/>
        <s v="CUST201"/>
        <s v="CUST202"/>
        <s v="CUST203"/>
        <s v="CUST204"/>
        <s v="CUST205"/>
        <s v="CUST206"/>
        <s v="CUST207"/>
        <s v="CUST208"/>
        <s v="CUST209"/>
        <s v="CUST210"/>
        <s v="CUST211"/>
        <s v="CUST212"/>
        <s v="CUST213"/>
        <s v="CUST214"/>
        <s v="CUST215"/>
        <s v="CUST216"/>
        <s v="CUST217"/>
        <s v="CUST218"/>
        <s v="CUST219"/>
        <s v="CUST220"/>
        <s v="CUST221"/>
        <s v="CUST222"/>
        <s v="CUST223"/>
        <s v="CUST224"/>
        <s v="CUST225"/>
        <s v="CUST226"/>
        <s v="CUST227"/>
        <s v="CUST228"/>
        <s v="CUST229"/>
        <s v="CUST230"/>
        <s v="CUST231"/>
        <s v="CUST232"/>
        <s v="CUST233"/>
        <s v="CUST234"/>
        <s v="CUST235"/>
        <s v="CUST236"/>
        <s v="CUST237"/>
        <s v="CUST238"/>
        <s v="CUST239"/>
        <s v="CUST240"/>
        <s v="CUST241"/>
        <s v="CUST242"/>
        <s v="CUST243"/>
        <s v="CUST244"/>
        <s v="CUST245"/>
        <s v="CUST246"/>
        <s v="CUST247"/>
        <s v="CUST248"/>
        <s v="CUST249"/>
        <s v="CUST250"/>
        <s v="CUST251"/>
        <s v="CUST252"/>
        <s v="CUST253"/>
        <s v="CUST254"/>
        <s v="CUST255"/>
        <s v="CUST256"/>
        <s v="CUST257"/>
        <s v="CUST258"/>
        <s v="CUST259"/>
        <s v="CUST260"/>
        <s v="CUST261"/>
        <s v="CUST262"/>
        <s v="CUST263"/>
        <s v="CUST264"/>
        <s v="CUST265"/>
        <s v="CUST266"/>
        <s v="CUST267"/>
        <s v="CUST268"/>
        <s v="CUST269"/>
        <s v="CUST270"/>
        <s v="CUST271"/>
        <s v="CUST272"/>
        <s v="CUST273"/>
        <s v="CUST274"/>
        <s v="CUST275"/>
        <s v="CUST276"/>
        <s v="CUST277"/>
        <s v="CUST278"/>
        <s v="CUST279"/>
        <s v="CUST280"/>
        <s v="CUST281"/>
        <s v="CUST282"/>
        <s v="CUST283"/>
        <s v="CUST284"/>
        <s v="CUST285"/>
        <s v="CUST286"/>
        <s v="CUST287"/>
        <s v="CUST288"/>
        <s v="CUST289"/>
        <s v="CUST290"/>
        <s v="CUST291"/>
        <s v="CUST292"/>
        <s v="CUST293"/>
        <s v="CUST294"/>
        <s v="CUST295"/>
        <s v="CUST296"/>
        <s v="CUST297"/>
        <s v="CUST298"/>
        <s v="CUST299"/>
        <s v="CUST300"/>
        <s v="CUST301"/>
        <s v="CUST302"/>
        <s v="CUST303"/>
        <s v="CUST304"/>
        <s v="CUST305"/>
        <s v="CUST306"/>
        <s v="CUST307"/>
        <s v="CUST308"/>
        <s v="CUST309"/>
        <s v="CUST310"/>
        <s v="CUST311"/>
        <s v="CUST312"/>
        <s v="CUST313"/>
        <s v="CUST314"/>
        <s v="CUST315"/>
        <s v="CUST316"/>
        <s v="CUST317"/>
        <s v="CUST318"/>
        <s v="CUST319"/>
        <s v="CUST320"/>
        <s v="CUST321"/>
        <s v="CUST322"/>
        <s v="CUST323"/>
        <s v="CUST324"/>
        <s v="CUST325"/>
        <s v="CUST326"/>
        <s v="CUST327"/>
        <s v="CUST328"/>
        <s v="CUST329"/>
        <s v="CUST330"/>
        <s v="CUST331"/>
        <s v="CUST332"/>
        <s v="CUST333"/>
        <s v="CUST334"/>
        <s v="CUST335"/>
        <s v="CUST336"/>
        <s v="CUST337"/>
        <s v="CUST338"/>
        <s v="CUST339"/>
        <s v="CUST340"/>
        <s v="CUST341"/>
        <s v="CUST342"/>
        <s v="CUST343"/>
        <s v="CUST344"/>
        <s v="CUST345"/>
        <s v="CUST346"/>
        <s v="CUST347"/>
        <s v="CUST348"/>
        <s v="CUST349"/>
        <s v="CUST350"/>
        <s v="CUST351"/>
        <s v="CUST352"/>
        <s v="CUST353"/>
        <s v="CUST354"/>
        <s v="CUST355"/>
        <s v="CUST356"/>
        <s v="CUST357"/>
        <s v="CUST358"/>
        <s v="CUST359"/>
        <s v="CUST360"/>
        <s v="CUST361"/>
        <s v="CUST362"/>
        <s v="CUST363"/>
        <s v="CUST364"/>
        <s v="CUST365"/>
        <s v="CUST366"/>
        <s v="CUST367"/>
        <s v="CUST368"/>
        <s v="CUST369"/>
        <s v="CUST370"/>
        <s v="CUST371"/>
        <s v="CUST372"/>
        <s v="CUST373"/>
        <s v="CUST374"/>
        <s v="CUST375"/>
        <s v="CUST376"/>
        <s v="CUST377"/>
        <s v="CUST378"/>
        <s v="CUST379"/>
        <s v="CUST380"/>
        <s v="CUST381"/>
        <s v="CUST382"/>
        <s v="CUST383"/>
        <s v="CUST384"/>
        <s v="CUST385"/>
        <s v="CUST386"/>
        <s v="CUST387"/>
        <s v="CUST388"/>
        <s v="CUST389"/>
        <s v="CUST390"/>
        <s v="CUST391"/>
        <s v="CUST392"/>
        <s v="CUST393"/>
        <s v="CUST394"/>
        <s v="CUST395"/>
        <s v="CUST396"/>
        <s v="CUST397"/>
        <s v="CUST398"/>
        <s v="CUST399"/>
        <s v="CUST400"/>
        <s v="CUST401"/>
        <s v="CUST402"/>
        <s v="CUST403"/>
        <s v="CUST404"/>
        <s v="CUST405"/>
        <s v="CUST406"/>
        <s v="CUST407"/>
        <s v="CUST408"/>
        <s v="CUST409"/>
        <s v="CUST410"/>
        <s v="CUST411"/>
        <s v="CUST412"/>
        <s v="CUST413"/>
        <s v="CUST414"/>
        <s v="CUST415"/>
        <s v="CUST416"/>
        <s v="CUST417"/>
        <s v="CUST418"/>
        <s v="CUST419"/>
        <s v="CUST420"/>
        <s v="CUST421"/>
        <s v="CUST422"/>
        <s v="CUST423"/>
        <s v="CUST424"/>
        <s v="CUST425"/>
        <s v="CUST426"/>
        <s v="CUST427"/>
        <s v="CUST428"/>
        <s v="CUST429"/>
        <s v="CUST430"/>
        <s v="CUST431"/>
        <s v="CUST432"/>
        <s v="CUST433"/>
        <s v="CUST434"/>
        <s v="CUST435"/>
        <s v="CUST436"/>
        <s v="CUST437"/>
        <s v="CUST438"/>
        <s v="CUST439"/>
        <s v="CUST440"/>
        <s v="CUST441"/>
        <s v="CUST442"/>
        <s v="CUST443"/>
        <s v="CUST444"/>
        <s v="CUST445"/>
        <s v="CUST446"/>
        <s v="CUST447"/>
        <s v="CUST448"/>
        <s v="CUST449"/>
        <s v="CUST450"/>
        <s v="CUST451"/>
        <s v="CUST452"/>
        <s v="CUST453"/>
        <s v="CUST454"/>
        <s v="CUST455"/>
        <s v="CUST456"/>
        <s v="CUST457"/>
        <s v="CUST458"/>
        <s v="CUST459"/>
        <s v="CUST460"/>
        <s v="CUST461"/>
        <s v="CUST462"/>
        <s v="CUST463"/>
        <s v="CUST464"/>
        <s v="CUST465"/>
        <s v="CUST466"/>
        <s v="CUST467"/>
        <s v="CUST468"/>
        <s v="CUST469"/>
        <s v="CUST470"/>
        <s v="CUST471"/>
        <s v="CUST472"/>
        <s v="CUST473"/>
        <s v="CUST474"/>
        <s v="CUST475"/>
        <s v="CUST476"/>
        <s v="CUST477"/>
        <s v="CUST478"/>
        <s v="CUST479"/>
        <s v="CUST480"/>
        <s v="CUST481"/>
        <s v="CUST482"/>
        <s v="CUST483"/>
        <s v="CUST484"/>
        <s v="CUST485"/>
        <s v="CUST486"/>
        <s v="CUST487"/>
        <s v="CUST488"/>
        <s v="CUST489"/>
        <s v="CUST490"/>
        <s v="CUST491"/>
        <s v="CUST492"/>
        <s v="CUST493"/>
        <s v="CUST494"/>
        <s v="CUST495"/>
        <s v="CUST496"/>
        <s v="CUST497"/>
        <s v="CUST498"/>
        <s v="CUST499"/>
        <s v="CUST500"/>
        <s v="CUST501"/>
        <s v="CUST502"/>
        <s v="CUST503"/>
        <s v="CUST504"/>
        <s v="CUST505"/>
        <s v="CUST506"/>
        <s v="CUST507"/>
        <s v="CUST508"/>
        <s v="CUST509"/>
        <s v="CUST510"/>
        <s v="CUST511"/>
        <s v="CUST512"/>
        <s v="CUST513"/>
        <s v="CUST514"/>
        <s v="CUST515"/>
        <s v="CUST516"/>
        <s v="CUST517"/>
        <s v="CUST518"/>
        <s v="CUST519"/>
        <s v="CUST520"/>
        <s v="CUST521"/>
        <s v="CUST522"/>
        <s v="CUST523"/>
        <s v="CUST524"/>
        <s v="CUST525"/>
        <s v="CUST526"/>
        <s v="CUST527"/>
        <s v="CUST528"/>
        <s v="CUST529"/>
        <s v="CUST530"/>
        <s v="CUST531"/>
        <s v="CUST532"/>
        <s v="CUST533"/>
        <s v="CUST534"/>
        <s v="CUST535"/>
        <s v="CUST536"/>
        <s v="CUST537"/>
        <s v="CUST538"/>
        <s v="CUST539"/>
        <s v="CUST540"/>
        <s v="CUST541"/>
        <s v="CUST542"/>
        <s v="CUST543"/>
        <s v="CUST544"/>
        <s v="CUST545"/>
        <s v="CUST546"/>
        <s v="CUST547"/>
        <s v="CUST548"/>
        <s v="CUST549"/>
        <s v="CUST550"/>
        <s v="CUST551"/>
        <s v="CUST552"/>
        <s v="CUST553"/>
        <s v="CUST554"/>
        <s v="CUST555"/>
        <s v="CUST556"/>
        <s v="CUST557"/>
        <s v="CUST558"/>
        <s v="CUST559"/>
        <s v="CUST560"/>
        <s v="CUST561"/>
        <s v="CUST562"/>
        <s v="CUST563"/>
        <s v="CUST564"/>
        <s v="CUST565"/>
        <s v="CUST566"/>
        <s v="CUST567"/>
        <s v="CUST568"/>
        <s v="CUST569"/>
        <s v="CUST570"/>
        <s v="CUST571"/>
        <s v="CUST572"/>
        <s v="CUST573"/>
        <s v="CUST574"/>
        <s v="CUST575"/>
        <s v="CUST576"/>
        <s v="CUST577"/>
        <s v="CUST578"/>
        <s v="CUST579"/>
        <s v="CUST580"/>
        <s v="CUST581"/>
        <s v="CUST582"/>
        <s v="CUST583"/>
        <s v="CUST584"/>
        <s v="CUST585"/>
        <s v="CUST586"/>
        <s v="CUST587"/>
        <s v="CUST588"/>
        <s v="CUST589"/>
        <s v="CUST590"/>
        <s v="CUST591"/>
        <s v="CUST592"/>
        <s v="CUST593"/>
        <s v="CUST594"/>
        <s v="CUST595"/>
        <s v="CUST596"/>
        <s v="CUST597"/>
        <s v="CUST598"/>
        <s v="CUST599"/>
        <s v="CUST600"/>
        <s v="CUST601"/>
        <s v="CUST602"/>
        <s v="CUST603"/>
        <s v="CUST604"/>
        <s v="CUST605"/>
        <s v="CUST606"/>
        <s v="CUST607"/>
        <s v="CUST608"/>
        <s v="CUST609"/>
        <s v="CUST610"/>
        <s v="CUST611"/>
        <s v="CUST612"/>
        <s v="CUST613"/>
        <s v="CUST614"/>
        <s v="CUST615"/>
        <s v="CUST616"/>
        <s v="CUST617"/>
        <s v="CUST618"/>
        <s v="CUST619"/>
        <s v="CUST620"/>
        <s v="CUST621"/>
        <s v="CUST622"/>
        <s v="CUST623"/>
        <s v="CUST624"/>
        <s v="CUST625"/>
        <s v="CUST626"/>
        <s v="CUST627"/>
        <s v="CUST628"/>
        <s v="CUST629"/>
        <s v="CUST630"/>
        <s v="CUST631"/>
        <s v="CUST632"/>
        <s v="CUST633"/>
        <s v="CUST634"/>
        <s v="CUST635"/>
        <s v="CUST636"/>
        <s v="CUST637"/>
        <s v="CUST638"/>
        <s v="CUST639"/>
        <s v="CUST640"/>
        <s v="CUST641"/>
        <s v="CUST642"/>
        <s v="CUST643"/>
        <s v="CUST644"/>
        <s v="CUST645"/>
        <s v="CUST646"/>
        <s v="CUST647"/>
        <s v="CUST648"/>
        <s v="CUST649"/>
        <s v="CUST650"/>
        <s v="CUST651"/>
        <s v="CUST652"/>
        <s v="CUST653"/>
        <s v="CUST654"/>
        <s v="CUST655"/>
        <s v="CUST656"/>
        <s v="CUST657"/>
        <s v="CUST658"/>
        <s v="CUST659"/>
        <s v="CUST660"/>
        <s v="CUST661"/>
        <s v="CUST662"/>
        <s v="CUST663"/>
        <s v="CUST664"/>
        <s v="CUST665"/>
        <s v="CUST666"/>
        <s v="CUST667"/>
        <s v="CUST668"/>
        <s v="CUST669"/>
        <s v="CUST670"/>
        <s v="CUST671"/>
        <s v="CUST672"/>
        <s v="CUST673"/>
        <s v="CUST674"/>
        <s v="CUST675"/>
        <s v="CUST676"/>
        <s v="CUST677"/>
        <s v="CUST678"/>
        <s v="CUST679"/>
        <s v="CUST680"/>
        <s v="CUST681"/>
        <s v="CUST682"/>
        <s v="CUST683"/>
        <s v="CUST684"/>
        <s v="CUST685"/>
        <s v="CUST686"/>
        <s v="CUST687"/>
        <s v="CUST688"/>
        <s v="CUST689"/>
        <s v="CUST690"/>
        <s v="CUST691"/>
        <s v="CUST692"/>
        <s v="CUST693"/>
        <s v="CUST694"/>
        <s v="CUST695"/>
        <s v="CUST696"/>
        <s v="CUST697"/>
        <s v="CUST698"/>
        <s v="CUST699"/>
        <s v="CUST700"/>
        <s v="CUST701"/>
        <s v="CUST702"/>
        <s v="CUST703"/>
        <s v="CUST704"/>
        <s v="CUST705"/>
        <s v="CUST706"/>
        <s v="CUST707"/>
        <s v="CUST708"/>
        <s v="CUST709"/>
        <s v="CUST710"/>
        <s v="CUST711"/>
        <s v="CUST712"/>
        <s v="CUST713"/>
        <s v="CUST714"/>
        <s v="CUST715"/>
        <s v="CUST716"/>
        <s v="CUST717"/>
        <s v="CUST718"/>
        <s v="CUST719"/>
        <s v="CUST720"/>
        <s v="CUST721"/>
        <s v="CUST722"/>
        <s v="CUST723"/>
        <s v="CUST724"/>
        <s v="CUST725"/>
        <s v="CUST726"/>
        <s v="CUST727"/>
        <s v="CUST728"/>
        <s v="CUST729"/>
        <s v="CUST730"/>
        <s v="CUST731"/>
        <s v="CUST732"/>
        <s v="CUST733"/>
        <s v="CUST734"/>
        <s v="CUST735"/>
        <s v="CUST736"/>
        <s v="CUST737"/>
        <s v="CUST738"/>
        <s v="CUST739"/>
        <s v="CUST740"/>
        <s v="CUST741"/>
        <s v="CUST742"/>
        <s v="CUST743"/>
        <s v="CUST744"/>
        <s v="CUST745"/>
        <s v="CUST746"/>
        <s v="CUST747"/>
        <s v="CUST748"/>
        <s v="CUST749"/>
        <s v="CUST750"/>
        <s v="CUST751"/>
        <s v="CUST752"/>
        <s v="CUST753"/>
        <s v="CUST754"/>
        <s v="CUST755"/>
        <s v="CUST756"/>
        <s v="CUST757"/>
        <s v="CUST758"/>
        <s v="CUST759"/>
        <s v="CUST760"/>
        <s v="CUST761"/>
        <s v="CUST762"/>
        <s v="CUST763"/>
        <s v="CUST764"/>
        <s v="CUST765"/>
        <s v="CUST766"/>
        <s v="CUST767"/>
        <s v="CUST768"/>
        <s v="CUST769"/>
        <s v="CUST770"/>
        <s v="CUST771"/>
        <s v="CUST772"/>
        <s v="CUST773"/>
        <s v="CUST774"/>
        <s v="CUST775"/>
        <s v="CUST776"/>
        <s v="CUST777"/>
        <s v="CUST778"/>
        <s v="CUST779"/>
        <s v="CUST780"/>
        <s v="CUST781"/>
        <s v="CUST782"/>
        <s v="CUST783"/>
        <s v="CUST784"/>
        <s v="CUST785"/>
        <s v="CUST786"/>
        <s v="CUST787"/>
        <s v="CUST788"/>
        <s v="CUST789"/>
        <s v="CUST790"/>
        <s v="CUST791"/>
        <s v="CUST792"/>
        <s v="CUST793"/>
        <s v="CUST794"/>
        <s v="CUST795"/>
        <s v="CUST796"/>
        <s v="CUST797"/>
        <s v="CUST798"/>
        <s v="CUST799"/>
        <s v="CUST800"/>
        <s v="CUST801"/>
        <s v="CUST802"/>
        <s v="CUST803"/>
        <s v="CUST804"/>
        <s v="CUST805"/>
        <s v="CUST806"/>
        <s v="CUST807"/>
        <s v="CUST808"/>
        <s v="CUST809"/>
        <s v="CUST810"/>
        <s v="CUST811"/>
        <s v="CUST812"/>
        <s v="CUST813"/>
        <s v="CUST814"/>
        <s v="CUST815"/>
        <s v="CUST816"/>
        <s v="CUST817"/>
        <s v="CUST818"/>
        <s v="CUST819"/>
        <s v="CUST820"/>
        <s v="CUST821"/>
        <s v="CUST822"/>
        <s v="CUST823"/>
        <s v="CUST824"/>
        <s v="CUST825"/>
        <s v="CUST826"/>
        <s v="CUST827"/>
        <s v="CUST828"/>
        <s v="CUST829"/>
        <s v="CUST830"/>
        <s v="CUST831"/>
        <s v="CUST832"/>
        <s v="CUST833"/>
        <s v="CUST834"/>
        <s v="CUST835"/>
        <s v="CUST836"/>
        <s v="CUST837"/>
        <s v="CUST838"/>
        <s v="CUST839"/>
        <s v="CUST840"/>
        <s v="CUST841"/>
        <s v="CUST842"/>
        <s v="CUST843"/>
        <s v="CUST844"/>
        <s v="CUST845"/>
        <s v="CUST846"/>
        <s v="CUST847"/>
        <s v="CUST848"/>
        <s v="CUST849"/>
        <s v="CUST850"/>
        <s v="CUST851"/>
        <s v="CUST852"/>
        <s v="CUST853"/>
        <s v="CUST854"/>
        <s v="CUST855"/>
        <s v="CUST856"/>
        <s v="CUST857"/>
        <s v="CUST858"/>
        <s v="CUST859"/>
        <s v="CUST860"/>
        <s v="CUST861"/>
        <s v="CUST862"/>
        <s v="CUST863"/>
        <s v="CUST864"/>
        <s v="CUST865"/>
        <s v="CUST866"/>
        <s v="CUST867"/>
        <s v="CUST868"/>
        <s v="CUST869"/>
        <s v="CUST870"/>
        <s v="CUST871"/>
        <s v="CUST872"/>
        <s v="CUST873"/>
        <s v="CUST874"/>
        <s v="CUST875"/>
        <s v="CUST876"/>
        <s v="CUST877"/>
        <s v="CUST878"/>
        <s v="CUST879"/>
        <s v="CUST880"/>
        <s v="CUST881"/>
        <s v="CUST882"/>
        <s v="CUST883"/>
        <s v="CUST884"/>
        <s v="CUST885"/>
        <s v="CUST886"/>
        <s v="CUST887"/>
        <s v="CUST888"/>
        <s v="CUST889"/>
        <s v="CUST890"/>
        <s v="CUST891"/>
        <s v="CUST892"/>
        <s v="CUST893"/>
        <s v="CUST894"/>
        <s v="CUST895"/>
        <s v="CUST896"/>
        <s v="CUST897"/>
        <s v="CUST898"/>
        <s v="CUST899"/>
        <s v="CUST900"/>
        <s v="CUST901"/>
        <s v="CUST902"/>
        <s v="CUST903"/>
        <s v="CUST904"/>
        <s v="CUST905"/>
        <s v="CUST906"/>
        <s v="CUST907"/>
        <s v="CUST908"/>
        <s v="CUST909"/>
        <s v="CUST910"/>
        <s v="CUST911"/>
        <s v="CUST912"/>
        <s v="CUST913"/>
        <s v="CUST914"/>
        <s v="CUST915"/>
        <s v="CUST916"/>
        <s v="CUST917"/>
        <s v="CUST918"/>
        <s v="CUST919"/>
        <s v="CUST920"/>
        <s v="CUST921"/>
        <s v="CUST922"/>
        <s v="CUST923"/>
        <s v="CUST924"/>
        <s v="CUST925"/>
        <s v="CUST926"/>
        <s v="CUST927"/>
        <s v="CUST928"/>
        <s v="CUST929"/>
        <s v="CUST930"/>
        <s v="CUST931"/>
        <s v="CUST932"/>
        <s v="CUST933"/>
        <s v="CUST934"/>
        <s v="CUST935"/>
        <s v="CUST936"/>
        <s v="CUST937"/>
        <s v="CUST938"/>
        <s v="CUST939"/>
        <s v="CUST940"/>
        <s v="CUST941"/>
        <s v="CUST942"/>
        <s v="CUST943"/>
        <s v="CUST944"/>
        <s v="CUST945"/>
        <s v="CUST946"/>
        <s v="CUST947"/>
        <s v="CUST948"/>
        <s v="CUST949"/>
        <s v="CUST950"/>
        <s v="CUST951"/>
        <s v="CUST952"/>
        <s v="CUST953"/>
        <s v="CUST954"/>
        <s v="CUST955"/>
        <s v="CUST956"/>
        <s v="CUST957"/>
        <s v="CUST958"/>
        <s v="CUST959"/>
        <s v="CUST960"/>
        <s v="CUST961"/>
        <s v="CUST962"/>
        <s v="CUST963"/>
        <s v="CUST964"/>
        <s v="CUST965"/>
        <s v="CUST966"/>
        <s v="CUST967"/>
        <s v="CUST968"/>
        <s v="CUST969"/>
        <s v="CUST970"/>
        <s v="CUST971"/>
        <s v="CUST972"/>
        <s v="CUST973"/>
        <s v="CUST974"/>
        <s v="CUST975"/>
        <s v="CUST976"/>
        <s v="CUST977"/>
        <s v="CUST978"/>
        <s v="CUST979"/>
        <s v="CUST980"/>
        <s v="CUST981"/>
        <s v="CUST982"/>
        <s v="CUST983"/>
        <s v="CUST984"/>
        <s v="CUST985"/>
        <s v="CUST986"/>
        <s v="CUST987"/>
        <s v="CUST988"/>
        <s v="CUST989"/>
        <s v="CUST990"/>
        <s v="CUST991"/>
        <s v="CUST992"/>
        <s v="CUST993"/>
        <s v="CUST994"/>
        <s v="CUST995"/>
        <s v="CUST996"/>
        <s v="CUST997"/>
        <s v="CUST998"/>
        <s v="CUST999"/>
        <s v="CUST1000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8" maxValue="64"/>
    </cacheField>
    <cacheField name="Age Category" numFmtId="0">
      <sharedItems count="3">
        <s v="Mid-Age"/>
        <s v="Old-Age"/>
        <s v="Young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visri" refreshedDate="46003.478013888889" backgroundQuery="1" createdVersion="8" refreshedVersion="8" minRefreshableVersion="3" recordCount="0" supportSubquery="1" supportAdvancedDrill="1" xr:uid="{9F7BC926-C105-4874-8DFB-C42E5C9705F6}">
  <cacheSource type="external" connectionId="1"/>
  <cacheFields count="3">
    <cacheField name="[Table1].[Age Category].[Age Category]" caption="Age Category" numFmtId="0" hierarchy="6" level="1">
      <sharedItems count="3">
        <s v="Mid-Age"/>
        <s v="Old-Age"/>
        <s v="Young"/>
      </sharedItems>
    </cacheField>
    <cacheField name="[Table1].[Gender].[Gender]" caption="Gender" numFmtId="0" hierarchy="4" level="1">
      <sharedItems count="2">
        <s v="Female"/>
        <s v="Male"/>
      </sharedItems>
    </cacheField>
    <cacheField name="[Measures].[Count of Customer ID]" caption="Count of Customer ID" numFmtId="0" hierarchy="15" level="32767"/>
  </cacheFields>
  <cacheHierarchies count="16">
    <cacheHierarchy uniqueName="[Table1].[Transaction ID]" caption="Transaction ID" attribute="1" defaultMemberUniqueName="[Table1].[Transaction ID].[All]" allUniqueName="[Table1].[Transaction ID].[All]" dimensionUniqueName="[Table1]" displayFolder="" count="0" memberValueDatatype="2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2" memberValueDatatype="130" unbalanced="0"/>
    <cacheHierarchy uniqueName="[Table1].[Gender]" caption="Gender" attribute="1" defaultMemberUniqueName="[Table1].[Gender].[All]" allUniqueName="[Table1].[Gender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Age Category]" caption="Age Category" attribute="1" defaultMemberUniqueName="[Table1].[Age Category].[All]" allUniqueName="[Table1].[Age 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duct Category]" caption="Product Category" attribute="1" defaultMemberUniqueName="[Table1].[Product Category].[All]" allUniqueName="[Table1].[Product Category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Price per Unit]" caption="Price per Unit" attribute="1" defaultMemberUniqueName="[Table1].[Price per Unit].[All]" allUniqueName="[Table1].[Price per Unit].[All]" dimensionUniqueName="[Table1]" displayFolder="" count="0" memberValueDatatype="20" unbalanced="0"/>
    <cacheHierarchy uniqueName="[Table1].[Total Amount]" caption="Total Amount" attribute="1" defaultMemberUniqueName="[Table1].[Total Amount].[All]" allUniqueName="[Table1].[Total Amount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Month]" caption="Count of Month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Total Amount]" caption="Sum of Total Amount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 ID]" caption="Count of Customer ID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visri" refreshedDate="46003.484890624997" backgroundQuery="1" createdVersion="8" refreshedVersion="8" minRefreshableVersion="3" recordCount="0" supportSubquery="1" supportAdvancedDrill="1" xr:uid="{169EFC2B-3022-4736-B8B4-7EDD6695FF93}">
  <cacheSource type="external" connectionId="1"/>
  <cacheFields count="2">
    <cacheField name="[Table1].[Month].[Month]" caption="Month" numFmtId="0" hierarchy="2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Measures].[Sum of Total Amount]" caption="Sum of Total Amount" numFmtId="0" hierarchy="14" level="32767"/>
  </cacheFields>
  <cacheHierarchies count="16">
    <cacheHierarchy uniqueName="[Table1].[Transaction ID]" caption="Transaction ID" attribute="1" defaultMemberUniqueName="[Table1].[Transaction ID].[All]" allUniqueName="[Table1].[Transaction ID].[All]" dimensionUniqueName="[Table1]" displayFolder="" count="0" memberValueDatatype="2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Month]" caption="Month" attribute="1" defaultMemberUniqueName="[Table1].[Month].[All]" allUniqueName="[Table1].[Month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Age Category]" caption="Age Category" attribute="1" defaultMemberUniqueName="[Table1].[Age Category].[All]" allUniqueName="[Table1].[Age Category].[All]" dimensionUniqueName="[Table1]" displayFolder="" count="0" memberValueDatatype="130" unbalanced="0"/>
    <cacheHierarchy uniqueName="[Table1].[Product Category]" caption="Product Category" attribute="1" defaultMemberUniqueName="[Table1].[Product Category].[All]" allUniqueName="[Table1].[Product Category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Price per Unit]" caption="Price per Unit" attribute="1" defaultMemberUniqueName="[Table1].[Price per Unit].[All]" allUniqueName="[Table1].[Price per Unit].[All]" dimensionUniqueName="[Table1]" displayFolder="" count="0" memberValueDatatype="20" unbalanced="0"/>
    <cacheHierarchy uniqueName="[Table1].[Total Amount]" caption="Total Amount" attribute="1" defaultMemberUniqueName="[Table1].[Total Amount].[All]" allUniqueName="[Table1].[Total Amount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Month]" caption="Count of Month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Total Amount]" caption="Sum of Total Amount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ustomer ID]" caption="Count of Customer ID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3-11-24T00:00:00"/>
    <x v="0"/>
    <s v="Male"/>
    <n v="34"/>
    <s v="Mid Age"/>
    <x v="0"/>
    <n v="3"/>
    <n v="50"/>
    <n v="150"/>
  </r>
  <r>
    <n v="2"/>
    <d v="2023-02-27T00:00:00"/>
    <x v="1"/>
    <s v="Female"/>
    <n v="26"/>
    <s v="Mid Age"/>
    <x v="1"/>
    <n v="2"/>
    <n v="500"/>
    <n v="1000"/>
  </r>
  <r>
    <n v="3"/>
    <d v="2023-01-13T00:00:00"/>
    <x v="2"/>
    <s v="Male"/>
    <n v="50"/>
    <s v="Mid Age"/>
    <x v="2"/>
    <n v="1"/>
    <n v="30"/>
    <n v="30"/>
  </r>
  <r>
    <n v="4"/>
    <d v="2023-05-21T00:00:00"/>
    <x v="3"/>
    <s v="Male"/>
    <n v="37"/>
    <s v="Mid Age"/>
    <x v="1"/>
    <n v="1"/>
    <n v="500"/>
    <n v="500"/>
  </r>
  <r>
    <n v="5"/>
    <d v="2023-05-06T00:00:00"/>
    <x v="4"/>
    <s v="Male"/>
    <n v="30"/>
    <s v="Mid Age"/>
    <x v="0"/>
    <n v="2"/>
    <n v="50"/>
    <n v="100"/>
  </r>
  <r>
    <n v="6"/>
    <d v="2023-04-25T00:00:00"/>
    <x v="5"/>
    <s v="Female"/>
    <n v="45"/>
    <s v="Mid Age"/>
    <x v="0"/>
    <n v="1"/>
    <n v="30"/>
    <n v="30"/>
  </r>
  <r>
    <n v="7"/>
    <d v="2023-03-13T00:00:00"/>
    <x v="6"/>
    <s v="Male"/>
    <n v="46"/>
    <s v="Mid Age"/>
    <x v="1"/>
    <n v="2"/>
    <n v="25"/>
    <n v="50"/>
  </r>
  <r>
    <n v="8"/>
    <d v="2023-02-22T00:00:00"/>
    <x v="7"/>
    <s v="Male"/>
    <n v="30"/>
    <s v="Mid Age"/>
    <x v="2"/>
    <n v="4"/>
    <n v="25"/>
    <n v="100"/>
  </r>
  <r>
    <n v="9"/>
    <d v="2023-12-13T00:00:00"/>
    <x v="8"/>
    <s v="Male"/>
    <n v="63"/>
    <s v="Mid Age"/>
    <x v="2"/>
    <n v="2"/>
    <n v="300"/>
    <n v="600"/>
  </r>
  <r>
    <n v="10"/>
    <d v="2023-10-07T00:00:00"/>
    <x v="9"/>
    <s v="Female"/>
    <n v="52"/>
    <s v="Mid Age"/>
    <x v="1"/>
    <n v="4"/>
    <n v="50"/>
    <n v="200"/>
  </r>
  <r>
    <n v="11"/>
    <d v="2023-02-14T00:00:00"/>
    <x v="10"/>
    <s v="Male"/>
    <n v="23"/>
    <s v="Young Age"/>
    <x v="1"/>
    <n v="2"/>
    <n v="50"/>
    <n v="100"/>
  </r>
  <r>
    <n v="12"/>
    <d v="2023-10-30T00:00:00"/>
    <x v="11"/>
    <s v="Male"/>
    <n v="35"/>
    <s v="Mid Age"/>
    <x v="0"/>
    <n v="3"/>
    <n v="25"/>
    <n v="75"/>
  </r>
  <r>
    <n v="13"/>
    <d v="2023-08-05T00:00:00"/>
    <x v="12"/>
    <s v="Male"/>
    <n v="22"/>
    <s v="Young Age"/>
    <x v="2"/>
    <n v="3"/>
    <n v="500"/>
    <n v="1500"/>
  </r>
  <r>
    <n v="14"/>
    <d v="2023-01-17T00:00:00"/>
    <x v="13"/>
    <s v="Male"/>
    <n v="64"/>
    <s v="Mid Age"/>
    <x v="1"/>
    <n v="4"/>
    <n v="30"/>
    <n v="120"/>
  </r>
  <r>
    <n v="15"/>
    <d v="2023-01-16T00:00:00"/>
    <x v="14"/>
    <s v="Female"/>
    <n v="42"/>
    <s v="Mid Age"/>
    <x v="2"/>
    <n v="4"/>
    <n v="500"/>
    <n v="2000"/>
  </r>
  <r>
    <n v="16"/>
    <d v="2023-02-17T00:00:00"/>
    <x v="15"/>
    <s v="Male"/>
    <n v="19"/>
    <s v="Young Age"/>
    <x v="1"/>
    <n v="3"/>
    <n v="500"/>
    <n v="1500"/>
  </r>
  <r>
    <n v="17"/>
    <d v="2023-04-22T00:00:00"/>
    <x v="16"/>
    <s v="Female"/>
    <n v="27"/>
    <s v="Mid Age"/>
    <x v="1"/>
    <n v="4"/>
    <n v="25"/>
    <n v="100"/>
  </r>
  <r>
    <n v="18"/>
    <d v="2023-04-30T00:00:00"/>
    <x v="17"/>
    <s v="Female"/>
    <n v="47"/>
    <s v="Mid Age"/>
    <x v="2"/>
    <n v="2"/>
    <n v="25"/>
    <n v="50"/>
  </r>
  <r>
    <n v="19"/>
    <d v="2023-09-16T00:00:00"/>
    <x v="18"/>
    <s v="Female"/>
    <n v="62"/>
    <s v="Mid Age"/>
    <x v="1"/>
    <n v="2"/>
    <n v="25"/>
    <n v="50"/>
  </r>
  <r>
    <n v="20"/>
    <d v="2023-11-05T00:00:00"/>
    <x v="19"/>
    <s v="Male"/>
    <n v="22"/>
    <s v="Young Age"/>
    <x v="1"/>
    <n v="3"/>
    <n v="300"/>
    <n v="900"/>
  </r>
  <r>
    <n v="21"/>
    <d v="2023-01-14T00:00:00"/>
    <x v="20"/>
    <s v="Female"/>
    <n v="50"/>
    <s v="Mid Age"/>
    <x v="0"/>
    <n v="1"/>
    <n v="500"/>
    <n v="500"/>
  </r>
  <r>
    <n v="22"/>
    <d v="2023-10-15T00:00:00"/>
    <x v="21"/>
    <s v="Male"/>
    <n v="18"/>
    <s v="Young Age"/>
    <x v="1"/>
    <n v="2"/>
    <n v="50"/>
    <n v="100"/>
  </r>
  <r>
    <n v="23"/>
    <d v="2023-04-12T00:00:00"/>
    <x v="22"/>
    <s v="Female"/>
    <n v="35"/>
    <s v="Mid Age"/>
    <x v="1"/>
    <n v="4"/>
    <n v="30"/>
    <n v="120"/>
  </r>
  <r>
    <n v="24"/>
    <d v="2023-11-29T00:00:00"/>
    <x v="23"/>
    <s v="Female"/>
    <n v="49"/>
    <s v="Mid Age"/>
    <x v="1"/>
    <n v="1"/>
    <n v="300"/>
    <n v="300"/>
  </r>
  <r>
    <n v="25"/>
    <d v="2023-12-26T00:00:00"/>
    <x v="24"/>
    <s v="Female"/>
    <n v="64"/>
    <s v="Mid Age"/>
    <x v="0"/>
    <n v="1"/>
    <n v="50"/>
    <n v="50"/>
  </r>
  <r>
    <n v="26"/>
    <d v="2023-10-07T00:00:00"/>
    <x v="25"/>
    <s v="Female"/>
    <n v="28"/>
    <s v="Mid Age"/>
    <x v="2"/>
    <n v="2"/>
    <n v="500"/>
    <n v="1000"/>
  </r>
  <r>
    <n v="27"/>
    <d v="2023-08-03T00:00:00"/>
    <x v="26"/>
    <s v="Female"/>
    <n v="38"/>
    <s v="Mid Age"/>
    <x v="0"/>
    <n v="2"/>
    <n v="25"/>
    <n v="50"/>
  </r>
  <r>
    <n v="28"/>
    <d v="2023-04-23T00:00:00"/>
    <x v="27"/>
    <s v="Female"/>
    <n v="43"/>
    <s v="Mid Age"/>
    <x v="0"/>
    <n v="1"/>
    <n v="500"/>
    <n v="500"/>
  </r>
  <r>
    <n v="29"/>
    <d v="2023-08-18T00:00:00"/>
    <x v="28"/>
    <s v="Female"/>
    <n v="42"/>
    <s v="Mid Age"/>
    <x v="2"/>
    <n v="1"/>
    <n v="30"/>
    <n v="30"/>
  </r>
  <r>
    <n v="30"/>
    <d v="2023-10-29T00:00:00"/>
    <x v="29"/>
    <s v="Female"/>
    <n v="39"/>
    <s v="Mid Age"/>
    <x v="0"/>
    <n v="3"/>
    <n v="300"/>
    <n v="900"/>
  </r>
  <r>
    <n v="31"/>
    <d v="2023-05-23T00:00:00"/>
    <x v="30"/>
    <s v="Male"/>
    <n v="44"/>
    <s v="Mid Age"/>
    <x v="2"/>
    <n v="4"/>
    <n v="300"/>
    <n v="1200"/>
  </r>
  <r>
    <n v="32"/>
    <d v="2023-01-04T00:00:00"/>
    <x v="31"/>
    <s v="Male"/>
    <n v="30"/>
    <s v="Mid Age"/>
    <x v="0"/>
    <n v="3"/>
    <n v="30"/>
    <n v="90"/>
  </r>
  <r>
    <n v="33"/>
    <d v="2023-03-23T00:00:00"/>
    <x v="32"/>
    <s v="Female"/>
    <n v="50"/>
    <s v="Mid Age"/>
    <x v="2"/>
    <n v="2"/>
    <n v="50"/>
    <n v="100"/>
  </r>
  <r>
    <n v="34"/>
    <d v="2023-12-24T00:00:00"/>
    <x v="33"/>
    <s v="Female"/>
    <n v="51"/>
    <s v="Mid Age"/>
    <x v="1"/>
    <n v="3"/>
    <n v="50"/>
    <n v="150"/>
  </r>
  <r>
    <n v="35"/>
    <d v="2023-08-05T00:00:00"/>
    <x v="34"/>
    <s v="Female"/>
    <n v="58"/>
    <s v="Mid Age"/>
    <x v="0"/>
    <n v="3"/>
    <n v="300"/>
    <n v="900"/>
  </r>
  <r>
    <n v="36"/>
    <d v="2023-06-24T00:00:00"/>
    <x v="35"/>
    <s v="Male"/>
    <n v="52"/>
    <s v="Mid Age"/>
    <x v="0"/>
    <n v="3"/>
    <n v="300"/>
    <n v="900"/>
  </r>
  <r>
    <n v="37"/>
    <d v="2023-05-23T00:00:00"/>
    <x v="36"/>
    <s v="Female"/>
    <n v="18"/>
    <s v="Young Age"/>
    <x v="0"/>
    <n v="3"/>
    <n v="25"/>
    <n v="75"/>
  </r>
  <r>
    <n v="38"/>
    <d v="2023-03-21T00:00:00"/>
    <x v="37"/>
    <s v="Male"/>
    <n v="38"/>
    <s v="Mid Age"/>
    <x v="0"/>
    <n v="4"/>
    <n v="50"/>
    <n v="200"/>
  </r>
  <r>
    <n v="39"/>
    <d v="2023-04-21T00:00:00"/>
    <x v="38"/>
    <s v="Male"/>
    <n v="23"/>
    <s v="Young Age"/>
    <x v="1"/>
    <n v="4"/>
    <n v="30"/>
    <n v="120"/>
  </r>
  <r>
    <n v="40"/>
    <d v="2023-06-22T00:00:00"/>
    <x v="39"/>
    <s v="Male"/>
    <n v="45"/>
    <s v="Mid Age"/>
    <x v="0"/>
    <n v="1"/>
    <n v="50"/>
    <n v="50"/>
  </r>
  <r>
    <n v="41"/>
    <d v="2023-02-22T00:00:00"/>
    <x v="40"/>
    <s v="Male"/>
    <n v="34"/>
    <s v="Mid Age"/>
    <x v="1"/>
    <n v="2"/>
    <n v="25"/>
    <n v="50"/>
  </r>
  <r>
    <n v="42"/>
    <d v="2023-02-17T00:00:00"/>
    <x v="41"/>
    <s v="Male"/>
    <n v="22"/>
    <s v="Young Age"/>
    <x v="1"/>
    <n v="3"/>
    <n v="300"/>
    <n v="900"/>
  </r>
  <r>
    <n v="43"/>
    <d v="2023-07-14T00:00:00"/>
    <x v="42"/>
    <s v="Female"/>
    <n v="48"/>
    <s v="Mid Age"/>
    <x v="1"/>
    <n v="1"/>
    <n v="300"/>
    <n v="300"/>
  </r>
  <r>
    <n v="44"/>
    <d v="2023-02-19T00:00:00"/>
    <x v="43"/>
    <s v="Female"/>
    <n v="22"/>
    <s v="Young Age"/>
    <x v="1"/>
    <n v="1"/>
    <n v="25"/>
    <n v="25"/>
  </r>
  <r>
    <n v="45"/>
    <d v="2023-07-03T00:00:00"/>
    <x v="44"/>
    <s v="Female"/>
    <n v="55"/>
    <s v="Mid Age"/>
    <x v="2"/>
    <n v="1"/>
    <n v="30"/>
    <n v="30"/>
  </r>
  <r>
    <n v="46"/>
    <d v="2023-06-26T00:00:00"/>
    <x v="45"/>
    <s v="Female"/>
    <n v="20"/>
    <s v="Young Age"/>
    <x v="2"/>
    <n v="4"/>
    <n v="300"/>
    <n v="1200"/>
  </r>
  <r>
    <n v="47"/>
    <d v="2023-11-06T00:00:00"/>
    <x v="46"/>
    <s v="Female"/>
    <n v="40"/>
    <s v="Mid Age"/>
    <x v="0"/>
    <n v="3"/>
    <n v="500"/>
    <n v="1500"/>
  </r>
  <r>
    <n v="48"/>
    <d v="2023-05-16T00:00:00"/>
    <x v="47"/>
    <s v="Male"/>
    <n v="54"/>
    <s v="Mid Age"/>
    <x v="2"/>
    <n v="3"/>
    <n v="300"/>
    <n v="900"/>
  </r>
  <r>
    <n v="49"/>
    <d v="2023-01-23T00:00:00"/>
    <x v="48"/>
    <s v="Female"/>
    <n v="54"/>
    <s v="Mid Age"/>
    <x v="2"/>
    <n v="2"/>
    <n v="500"/>
    <n v="1000"/>
  </r>
  <r>
    <n v="50"/>
    <d v="2023-08-24T00:00:00"/>
    <x v="49"/>
    <s v="Female"/>
    <n v="27"/>
    <s v="Mid Age"/>
    <x v="0"/>
    <n v="3"/>
    <n v="25"/>
    <n v="75"/>
  </r>
  <r>
    <n v="51"/>
    <d v="2023-10-02T00:00:00"/>
    <x v="50"/>
    <s v="Male"/>
    <n v="27"/>
    <s v="Mid Age"/>
    <x v="0"/>
    <n v="3"/>
    <n v="25"/>
    <n v="75"/>
  </r>
  <r>
    <n v="52"/>
    <d v="2023-03-05T00:00:00"/>
    <x v="51"/>
    <s v="Female"/>
    <n v="36"/>
    <s v="Mid Age"/>
    <x v="0"/>
    <n v="1"/>
    <n v="300"/>
    <n v="300"/>
  </r>
  <r>
    <n v="53"/>
    <d v="2023-07-13T00:00:00"/>
    <x v="52"/>
    <s v="Male"/>
    <n v="34"/>
    <s v="Mid Age"/>
    <x v="2"/>
    <n v="2"/>
    <n v="50"/>
    <n v="100"/>
  </r>
  <r>
    <n v="54"/>
    <d v="2023-02-10T00:00:00"/>
    <x v="53"/>
    <s v="Female"/>
    <n v="38"/>
    <s v="Mid Age"/>
    <x v="2"/>
    <n v="3"/>
    <n v="500"/>
    <n v="1500"/>
  </r>
  <r>
    <n v="55"/>
    <d v="2023-10-10T00:00:00"/>
    <x v="54"/>
    <s v="Male"/>
    <n v="31"/>
    <s v="Mid Age"/>
    <x v="0"/>
    <n v="4"/>
    <n v="30"/>
    <n v="120"/>
  </r>
  <r>
    <n v="56"/>
    <d v="2023-05-31T00:00:00"/>
    <x v="55"/>
    <s v="Female"/>
    <n v="26"/>
    <s v="Mid Age"/>
    <x v="1"/>
    <n v="3"/>
    <n v="300"/>
    <n v="900"/>
  </r>
  <r>
    <n v="57"/>
    <d v="2023-11-18T00:00:00"/>
    <x v="56"/>
    <s v="Female"/>
    <n v="63"/>
    <s v="Mid Age"/>
    <x v="0"/>
    <n v="1"/>
    <n v="30"/>
    <n v="30"/>
  </r>
  <r>
    <n v="58"/>
    <d v="2023-11-13T00:00:00"/>
    <x v="57"/>
    <s v="Male"/>
    <n v="18"/>
    <s v="Young Age"/>
    <x v="1"/>
    <n v="4"/>
    <n v="300"/>
    <n v="1200"/>
  </r>
  <r>
    <n v="59"/>
    <d v="2023-07-05T00:00:00"/>
    <x v="58"/>
    <s v="Male"/>
    <n v="62"/>
    <s v="Mid Age"/>
    <x v="1"/>
    <n v="1"/>
    <n v="50"/>
    <n v="50"/>
  </r>
  <r>
    <n v="60"/>
    <d v="2023-10-23T00:00:00"/>
    <x v="59"/>
    <s v="Male"/>
    <n v="30"/>
    <s v="Mid Age"/>
    <x v="0"/>
    <n v="3"/>
    <n v="50"/>
    <n v="150"/>
  </r>
  <r>
    <n v="61"/>
    <d v="2023-04-09T00:00:00"/>
    <x v="60"/>
    <s v="Male"/>
    <n v="21"/>
    <s v="Young Age"/>
    <x v="0"/>
    <n v="4"/>
    <n v="50"/>
    <n v="200"/>
  </r>
  <r>
    <n v="62"/>
    <d v="2023-12-27T00:00:00"/>
    <x v="61"/>
    <s v="Male"/>
    <n v="18"/>
    <s v="Young Age"/>
    <x v="0"/>
    <n v="2"/>
    <n v="50"/>
    <n v="100"/>
  </r>
  <r>
    <n v="63"/>
    <d v="2023-02-05T00:00:00"/>
    <x v="62"/>
    <s v="Male"/>
    <n v="57"/>
    <s v="Mid Age"/>
    <x v="2"/>
    <n v="2"/>
    <n v="25"/>
    <n v="50"/>
  </r>
  <r>
    <n v="64"/>
    <d v="2023-01-24T00:00:00"/>
    <x v="63"/>
    <s v="Male"/>
    <n v="49"/>
    <s v="Mid Age"/>
    <x v="1"/>
    <n v="4"/>
    <n v="25"/>
    <n v="100"/>
  </r>
  <r>
    <n v="65"/>
    <d v="2023-12-05T00:00:00"/>
    <x v="64"/>
    <s v="Male"/>
    <n v="51"/>
    <s v="Mid Age"/>
    <x v="2"/>
    <n v="4"/>
    <n v="500"/>
    <n v="2000"/>
  </r>
  <r>
    <n v="66"/>
    <d v="2023-04-27T00:00:00"/>
    <x v="65"/>
    <s v="Female"/>
    <n v="45"/>
    <s v="Mid Age"/>
    <x v="2"/>
    <n v="1"/>
    <n v="30"/>
    <n v="30"/>
  </r>
  <r>
    <n v="67"/>
    <d v="2023-05-29T00:00:00"/>
    <x v="66"/>
    <s v="Female"/>
    <n v="48"/>
    <s v="Mid Age"/>
    <x v="0"/>
    <n v="4"/>
    <n v="300"/>
    <n v="1200"/>
  </r>
  <r>
    <n v="68"/>
    <d v="2023-02-10T00:00:00"/>
    <x v="67"/>
    <s v="Male"/>
    <n v="25"/>
    <s v="Young Age"/>
    <x v="2"/>
    <n v="1"/>
    <n v="300"/>
    <n v="300"/>
  </r>
  <r>
    <n v="69"/>
    <d v="2023-04-30T00:00:00"/>
    <x v="68"/>
    <s v="Female"/>
    <n v="56"/>
    <s v="Mid Age"/>
    <x v="0"/>
    <n v="3"/>
    <n v="25"/>
    <n v="75"/>
  </r>
  <r>
    <n v="70"/>
    <d v="2023-02-21T00:00:00"/>
    <x v="69"/>
    <s v="Female"/>
    <n v="43"/>
    <s v="Mid Age"/>
    <x v="1"/>
    <n v="1"/>
    <n v="300"/>
    <n v="300"/>
  </r>
  <r>
    <n v="71"/>
    <d v="2023-07-14T00:00:00"/>
    <x v="70"/>
    <s v="Female"/>
    <n v="51"/>
    <s v="Mid Age"/>
    <x v="0"/>
    <n v="4"/>
    <n v="25"/>
    <n v="100"/>
  </r>
  <r>
    <n v="72"/>
    <d v="2023-05-23T00:00:00"/>
    <x v="71"/>
    <s v="Female"/>
    <n v="20"/>
    <s v="Young Age"/>
    <x v="2"/>
    <n v="4"/>
    <n v="500"/>
    <n v="2000"/>
  </r>
  <r>
    <n v="73"/>
    <d v="2023-08-21T00:00:00"/>
    <x v="72"/>
    <s v="Male"/>
    <n v="29"/>
    <s v="Mid Age"/>
    <x v="2"/>
    <n v="3"/>
    <n v="30"/>
    <n v="90"/>
  </r>
  <r>
    <n v="74"/>
    <d v="2023-11-22T00:00:00"/>
    <x v="73"/>
    <s v="Female"/>
    <n v="18"/>
    <s v="Young Age"/>
    <x v="0"/>
    <n v="4"/>
    <n v="500"/>
    <n v="2000"/>
  </r>
  <r>
    <n v="75"/>
    <d v="2023-07-06T00:00:00"/>
    <x v="74"/>
    <s v="Male"/>
    <n v="61"/>
    <s v="Mid Age"/>
    <x v="0"/>
    <n v="4"/>
    <n v="50"/>
    <n v="200"/>
  </r>
  <r>
    <n v="76"/>
    <d v="2023-03-25T00:00:00"/>
    <x v="75"/>
    <s v="Female"/>
    <n v="22"/>
    <s v="Young Age"/>
    <x v="2"/>
    <n v="2"/>
    <n v="50"/>
    <n v="100"/>
  </r>
  <r>
    <n v="77"/>
    <d v="2023-07-09T00:00:00"/>
    <x v="76"/>
    <s v="Female"/>
    <n v="47"/>
    <s v="Mid Age"/>
    <x v="1"/>
    <n v="2"/>
    <n v="50"/>
    <n v="100"/>
  </r>
  <r>
    <n v="78"/>
    <d v="2023-07-01T00:00:00"/>
    <x v="77"/>
    <s v="Female"/>
    <n v="47"/>
    <s v="Mid Age"/>
    <x v="1"/>
    <n v="3"/>
    <n v="500"/>
    <n v="1500"/>
  </r>
  <r>
    <n v="79"/>
    <d v="2023-04-18T00:00:00"/>
    <x v="78"/>
    <s v="Male"/>
    <n v="34"/>
    <s v="Mid Age"/>
    <x v="0"/>
    <n v="1"/>
    <n v="300"/>
    <n v="300"/>
  </r>
  <r>
    <n v="80"/>
    <d v="2023-12-10T00:00:00"/>
    <x v="79"/>
    <s v="Female"/>
    <n v="64"/>
    <s v="Mid Age"/>
    <x v="1"/>
    <n v="2"/>
    <n v="30"/>
    <n v="60"/>
  </r>
  <r>
    <n v="81"/>
    <d v="2023-05-17T00:00:00"/>
    <x v="80"/>
    <s v="Male"/>
    <n v="40"/>
    <s v="Mid Age"/>
    <x v="2"/>
    <n v="1"/>
    <n v="50"/>
    <n v="50"/>
  </r>
  <r>
    <n v="82"/>
    <d v="2023-12-26T00:00:00"/>
    <x v="81"/>
    <s v="Female"/>
    <n v="32"/>
    <s v="Mid Age"/>
    <x v="0"/>
    <n v="4"/>
    <n v="50"/>
    <n v="200"/>
  </r>
  <r>
    <n v="83"/>
    <d v="2023-12-16T00:00:00"/>
    <x v="82"/>
    <s v="Male"/>
    <n v="54"/>
    <s v="Mid Age"/>
    <x v="2"/>
    <n v="2"/>
    <n v="50"/>
    <n v="100"/>
  </r>
  <r>
    <n v="84"/>
    <d v="2023-11-28T00:00:00"/>
    <x v="83"/>
    <s v="Female"/>
    <n v="38"/>
    <s v="Mid Age"/>
    <x v="2"/>
    <n v="3"/>
    <n v="30"/>
    <n v="90"/>
  </r>
  <r>
    <n v="85"/>
    <d v="2023-02-06T00:00:00"/>
    <x v="84"/>
    <s v="Male"/>
    <n v="31"/>
    <s v="Mid Age"/>
    <x v="1"/>
    <n v="3"/>
    <n v="50"/>
    <n v="150"/>
  </r>
  <r>
    <n v="86"/>
    <d v="2023-11-08T00:00:00"/>
    <x v="85"/>
    <s v="Male"/>
    <n v="19"/>
    <s v="Young Age"/>
    <x v="0"/>
    <n v="3"/>
    <n v="30"/>
    <n v="90"/>
  </r>
  <r>
    <n v="87"/>
    <d v="2023-11-22T00:00:00"/>
    <x v="86"/>
    <s v="Female"/>
    <n v="28"/>
    <s v="Mid Age"/>
    <x v="0"/>
    <n v="2"/>
    <n v="50"/>
    <n v="100"/>
  </r>
  <r>
    <n v="88"/>
    <d v="2023-03-29T00:00:00"/>
    <x v="87"/>
    <s v="Male"/>
    <n v="56"/>
    <s v="Mid Age"/>
    <x v="1"/>
    <n v="1"/>
    <n v="500"/>
    <n v="500"/>
  </r>
  <r>
    <n v="89"/>
    <d v="2023-10-01T00:00:00"/>
    <x v="88"/>
    <s v="Female"/>
    <n v="55"/>
    <s v="Mid Age"/>
    <x v="2"/>
    <n v="4"/>
    <n v="500"/>
    <n v="2000"/>
  </r>
  <r>
    <n v="90"/>
    <d v="2023-05-06T00:00:00"/>
    <x v="89"/>
    <s v="Female"/>
    <n v="51"/>
    <s v="Mid Age"/>
    <x v="2"/>
    <n v="1"/>
    <n v="30"/>
    <n v="30"/>
  </r>
  <r>
    <n v="91"/>
    <d v="2023-03-25T00:00:00"/>
    <x v="90"/>
    <s v="Female"/>
    <n v="55"/>
    <s v="Mid Age"/>
    <x v="2"/>
    <n v="1"/>
    <n v="500"/>
    <n v="500"/>
  </r>
  <r>
    <n v="92"/>
    <d v="2023-08-25T00:00:00"/>
    <x v="91"/>
    <s v="Female"/>
    <n v="51"/>
    <s v="Mid Age"/>
    <x v="2"/>
    <n v="4"/>
    <n v="30"/>
    <n v="120"/>
  </r>
  <r>
    <n v="93"/>
    <d v="2023-07-14T00:00:00"/>
    <x v="92"/>
    <s v="Female"/>
    <n v="35"/>
    <s v="Mid Age"/>
    <x v="0"/>
    <n v="4"/>
    <n v="500"/>
    <n v="2000"/>
  </r>
  <r>
    <n v="94"/>
    <d v="2023-05-19T00:00:00"/>
    <x v="93"/>
    <s v="Female"/>
    <n v="47"/>
    <s v="Mid Age"/>
    <x v="0"/>
    <n v="2"/>
    <n v="500"/>
    <n v="1000"/>
  </r>
  <r>
    <n v="95"/>
    <d v="2023-11-24T00:00:00"/>
    <x v="94"/>
    <s v="Female"/>
    <n v="32"/>
    <s v="Mid Age"/>
    <x v="1"/>
    <n v="2"/>
    <n v="30"/>
    <n v="60"/>
  </r>
  <r>
    <n v="96"/>
    <d v="2023-12-19T00:00:00"/>
    <x v="95"/>
    <s v="Female"/>
    <n v="44"/>
    <s v="Mid Age"/>
    <x v="1"/>
    <n v="2"/>
    <n v="300"/>
    <n v="600"/>
  </r>
  <r>
    <n v="97"/>
    <d v="2023-10-13T00:00:00"/>
    <x v="96"/>
    <s v="Female"/>
    <n v="51"/>
    <s v="Mid Age"/>
    <x v="0"/>
    <n v="2"/>
    <n v="500"/>
    <n v="1000"/>
  </r>
  <r>
    <n v="98"/>
    <d v="2023-04-23T00:00:00"/>
    <x v="97"/>
    <s v="Female"/>
    <n v="55"/>
    <s v="Mid Age"/>
    <x v="0"/>
    <n v="2"/>
    <n v="50"/>
    <n v="100"/>
  </r>
  <r>
    <n v="99"/>
    <d v="2023-12-17T00:00:00"/>
    <x v="98"/>
    <s v="Female"/>
    <n v="50"/>
    <s v="Mid Age"/>
    <x v="2"/>
    <n v="4"/>
    <n v="300"/>
    <n v="1200"/>
  </r>
  <r>
    <n v="100"/>
    <d v="2023-06-16T00:00:00"/>
    <x v="99"/>
    <s v="Male"/>
    <n v="41"/>
    <s v="Mid Age"/>
    <x v="2"/>
    <n v="1"/>
    <n v="30"/>
    <n v="30"/>
  </r>
  <r>
    <n v="101"/>
    <d v="2023-01-29T00:00:00"/>
    <x v="100"/>
    <s v="Male"/>
    <n v="32"/>
    <s v="Mid Age"/>
    <x v="1"/>
    <n v="2"/>
    <n v="300"/>
    <n v="600"/>
  </r>
  <r>
    <n v="102"/>
    <d v="2023-04-28T00:00:00"/>
    <x v="101"/>
    <s v="Female"/>
    <n v="47"/>
    <s v="Mid Age"/>
    <x v="0"/>
    <n v="2"/>
    <n v="25"/>
    <n v="50"/>
  </r>
  <r>
    <n v="103"/>
    <d v="2023-01-17T00:00:00"/>
    <x v="102"/>
    <s v="Female"/>
    <n v="59"/>
    <s v="Mid Age"/>
    <x v="1"/>
    <n v="1"/>
    <n v="25"/>
    <n v="25"/>
  </r>
  <r>
    <n v="104"/>
    <d v="2023-06-11T00:00:00"/>
    <x v="103"/>
    <s v="Female"/>
    <n v="34"/>
    <s v="Mid Age"/>
    <x v="0"/>
    <n v="2"/>
    <n v="500"/>
    <n v="1000"/>
  </r>
  <r>
    <n v="105"/>
    <d v="2023-07-25T00:00:00"/>
    <x v="104"/>
    <s v="Female"/>
    <n v="22"/>
    <s v="Young Age"/>
    <x v="2"/>
    <n v="1"/>
    <n v="500"/>
    <n v="500"/>
  </r>
  <r>
    <n v="106"/>
    <d v="2023-05-18T00:00:00"/>
    <x v="105"/>
    <s v="Female"/>
    <n v="46"/>
    <s v="Mid Age"/>
    <x v="1"/>
    <n v="1"/>
    <n v="50"/>
    <n v="50"/>
  </r>
  <r>
    <n v="107"/>
    <d v="2023-02-03T00:00:00"/>
    <x v="106"/>
    <s v="Female"/>
    <n v="21"/>
    <s v="Young Age"/>
    <x v="1"/>
    <n v="4"/>
    <n v="300"/>
    <n v="1200"/>
  </r>
  <r>
    <n v="108"/>
    <d v="2023-04-19T00:00:00"/>
    <x v="107"/>
    <s v="Female"/>
    <n v="27"/>
    <s v="Mid Age"/>
    <x v="0"/>
    <n v="3"/>
    <n v="25"/>
    <n v="75"/>
  </r>
  <r>
    <n v="109"/>
    <d v="2023-10-18T00:00:00"/>
    <x v="108"/>
    <s v="Female"/>
    <n v="34"/>
    <s v="Mid Age"/>
    <x v="2"/>
    <n v="4"/>
    <n v="500"/>
    <n v="2000"/>
  </r>
  <r>
    <n v="110"/>
    <d v="2023-06-11T00:00:00"/>
    <x v="109"/>
    <s v="Male"/>
    <n v="27"/>
    <s v="Mid Age"/>
    <x v="1"/>
    <n v="3"/>
    <n v="300"/>
    <n v="900"/>
  </r>
  <r>
    <n v="111"/>
    <d v="2023-04-19T00:00:00"/>
    <x v="110"/>
    <s v="Female"/>
    <n v="34"/>
    <s v="Mid Age"/>
    <x v="2"/>
    <n v="3"/>
    <n v="500"/>
    <n v="1500"/>
  </r>
  <r>
    <n v="112"/>
    <d v="2023-12-02T00:00:00"/>
    <x v="111"/>
    <s v="Male"/>
    <n v="37"/>
    <s v="Mid Age"/>
    <x v="1"/>
    <n v="3"/>
    <n v="500"/>
    <n v="1500"/>
  </r>
  <r>
    <n v="113"/>
    <d v="2023-09-13T00:00:00"/>
    <x v="112"/>
    <s v="Female"/>
    <n v="41"/>
    <s v="Mid Age"/>
    <x v="2"/>
    <n v="2"/>
    <n v="25"/>
    <n v="50"/>
  </r>
  <r>
    <n v="114"/>
    <d v="2023-07-22T00:00:00"/>
    <x v="113"/>
    <s v="Female"/>
    <n v="22"/>
    <s v="Young Age"/>
    <x v="0"/>
    <n v="4"/>
    <n v="25"/>
    <n v="100"/>
  </r>
  <r>
    <n v="115"/>
    <d v="2023-11-26T00:00:00"/>
    <x v="114"/>
    <s v="Male"/>
    <n v="51"/>
    <s v="Mid Age"/>
    <x v="1"/>
    <n v="3"/>
    <n v="500"/>
    <n v="1500"/>
  </r>
  <r>
    <n v="116"/>
    <d v="2023-08-23T00:00:00"/>
    <x v="115"/>
    <s v="Female"/>
    <n v="23"/>
    <s v="Young Age"/>
    <x v="1"/>
    <n v="1"/>
    <n v="30"/>
    <n v="30"/>
  </r>
  <r>
    <n v="117"/>
    <d v="2023-03-15T00:00:00"/>
    <x v="116"/>
    <s v="Male"/>
    <n v="19"/>
    <s v="Young Age"/>
    <x v="2"/>
    <n v="2"/>
    <n v="500"/>
    <n v="1000"/>
  </r>
  <r>
    <n v="118"/>
    <d v="2023-05-16T00:00:00"/>
    <x v="117"/>
    <s v="Female"/>
    <n v="30"/>
    <s v="Mid Age"/>
    <x v="2"/>
    <n v="4"/>
    <n v="500"/>
    <n v="2000"/>
  </r>
  <r>
    <n v="119"/>
    <d v="2023-03-13T00:00:00"/>
    <x v="118"/>
    <s v="Female"/>
    <n v="60"/>
    <s v="Mid Age"/>
    <x v="1"/>
    <n v="3"/>
    <n v="50"/>
    <n v="150"/>
  </r>
  <r>
    <n v="120"/>
    <d v="2023-05-07T00:00:00"/>
    <x v="119"/>
    <s v="Male"/>
    <n v="60"/>
    <s v="Mid Age"/>
    <x v="0"/>
    <n v="1"/>
    <n v="50"/>
    <n v="50"/>
  </r>
  <r>
    <n v="121"/>
    <d v="2023-10-15T00:00:00"/>
    <x v="120"/>
    <s v="Female"/>
    <n v="28"/>
    <s v="Mid Age"/>
    <x v="2"/>
    <n v="4"/>
    <n v="50"/>
    <n v="200"/>
  </r>
  <r>
    <n v="122"/>
    <d v="2023-10-03T00:00:00"/>
    <x v="121"/>
    <s v="Male"/>
    <n v="64"/>
    <s v="Mid Age"/>
    <x v="2"/>
    <n v="4"/>
    <n v="30"/>
    <n v="120"/>
  </r>
  <r>
    <n v="123"/>
    <d v="2023-05-15T00:00:00"/>
    <x v="122"/>
    <s v="Female"/>
    <n v="40"/>
    <s v="Mid Age"/>
    <x v="2"/>
    <n v="2"/>
    <n v="30"/>
    <n v="60"/>
  </r>
  <r>
    <n v="124"/>
    <d v="2023-10-27T00:00:00"/>
    <x v="123"/>
    <s v="Male"/>
    <n v="33"/>
    <s v="Mid Age"/>
    <x v="1"/>
    <n v="4"/>
    <n v="500"/>
    <n v="2000"/>
  </r>
  <r>
    <n v="125"/>
    <d v="2023-08-08T00:00:00"/>
    <x v="124"/>
    <s v="Male"/>
    <n v="48"/>
    <s v="Mid Age"/>
    <x v="1"/>
    <n v="2"/>
    <n v="50"/>
    <n v="100"/>
  </r>
  <r>
    <n v="126"/>
    <d v="2023-10-26T00:00:00"/>
    <x v="125"/>
    <s v="Female"/>
    <n v="28"/>
    <s v="Mid Age"/>
    <x v="1"/>
    <n v="3"/>
    <n v="30"/>
    <n v="90"/>
  </r>
  <r>
    <n v="127"/>
    <d v="2023-07-24T00:00:00"/>
    <x v="126"/>
    <s v="Female"/>
    <n v="33"/>
    <s v="Mid Age"/>
    <x v="1"/>
    <n v="2"/>
    <n v="25"/>
    <n v="50"/>
  </r>
  <r>
    <n v="128"/>
    <d v="2023-07-05T00:00:00"/>
    <x v="127"/>
    <s v="Male"/>
    <n v="25"/>
    <s v="Young Age"/>
    <x v="0"/>
    <n v="1"/>
    <n v="500"/>
    <n v="500"/>
  </r>
  <r>
    <n v="129"/>
    <d v="2023-04-23T00:00:00"/>
    <x v="128"/>
    <s v="Female"/>
    <n v="21"/>
    <s v="Young Age"/>
    <x v="0"/>
    <n v="2"/>
    <n v="300"/>
    <n v="600"/>
  </r>
  <r>
    <n v="130"/>
    <d v="2023-03-12T00:00:00"/>
    <x v="129"/>
    <s v="Female"/>
    <n v="57"/>
    <s v="Mid Age"/>
    <x v="1"/>
    <n v="1"/>
    <n v="500"/>
    <n v="500"/>
  </r>
  <r>
    <n v="131"/>
    <d v="2023-09-18T00:00:00"/>
    <x v="130"/>
    <s v="Female"/>
    <n v="21"/>
    <s v="Young Age"/>
    <x v="0"/>
    <n v="2"/>
    <n v="300"/>
    <n v="600"/>
  </r>
  <r>
    <n v="132"/>
    <d v="2023-09-10T00:00:00"/>
    <x v="131"/>
    <s v="Male"/>
    <n v="42"/>
    <s v="Mid Age"/>
    <x v="2"/>
    <n v="4"/>
    <n v="50"/>
    <n v="200"/>
  </r>
  <r>
    <n v="133"/>
    <d v="2023-02-16T00:00:00"/>
    <x v="132"/>
    <s v="Male"/>
    <n v="20"/>
    <s v="Young Age"/>
    <x v="2"/>
    <n v="3"/>
    <n v="300"/>
    <n v="900"/>
  </r>
  <r>
    <n v="134"/>
    <d v="2023-01-25T00:00:00"/>
    <x v="133"/>
    <s v="Male"/>
    <n v="49"/>
    <s v="Mid Age"/>
    <x v="2"/>
    <n v="1"/>
    <n v="50"/>
    <n v="50"/>
  </r>
  <r>
    <n v="135"/>
    <d v="2023-02-26T00:00:00"/>
    <x v="134"/>
    <s v="Male"/>
    <n v="20"/>
    <s v="Young Age"/>
    <x v="1"/>
    <n v="2"/>
    <n v="25"/>
    <n v="50"/>
  </r>
  <r>
    <n v="136"/>
    <d v="2023-03-20T00:00:00"/>
    <x v="135"/>
    <s v="Male"/>
    <n v="44"/>
    <s v="Mid Age"/>
    <x v="2"/>
    <n v="2"/>
    <n v="300"/>
    <n v="600"/>
  </r>
  <r>
    <n v="137"/>
    <d v="2023-11-18T00:00:00"/>
    <x v="136"/>
    <s v="Male"/>
    <n v="46"/>
    <s v="Mid Age"/>
    <x v="0"/>
    <n v="2"/>
    <n v="500"/>
    <n v="1000"/>
  </r>
  <r>
    <n v="138"/>
    <d v="2023-03-23T00:00:00"/>
    <x v="137"/>
    <s v="Male"/>
    <n v="49"/>
    <s v="Mid Age"/>
    <x v="1"/>
    <n v="4"/>
    <n v="50"/>
    <n v="200"/>
  </r>
  <r>
    <n v="139"/>
    <d v="2023-12-15T00:00:00"/>
    <x v="138"/>
    <s v="Male"/>
    <n v="36"/>
    <s v="Mid Age"/>
    <x v="0"/>
    <n v="4"/>
    <n v="500"/>
    <n v="2000"/>
  </r>
  <r>
    <n v="140"/>
    <d v="2023-08-05T00:00:00"/>
    <x v="139"/>
    <s v="Male"/>
    <n v="38"/>
    <s v="Mid Age"/>
    <x v="2"/>
    <n v="1"/>
    <n v="30"/>
    <n v="30"/>
  </r>
  <r>
    <n v="141"/>
    <d v="2023-11-02T00:00:00"/>
    <x v="140"/>
    <s v="Female"/>
    <n v="22"/>
    <s v="Young Age"/>
    <x v="2"/>
    <n v="1"/>
    <n v="50"/>
    <n v="50"/>
  </r>
  <r>
    <n v="142"/>
    <d v="2023-02-02T00:00:00"/>
    <x v="141"/>
    <s v="Male"/>
    <n v="35"/>
    <s v="Mid Age"/>
    <x v="2"/>
    <n v="4"/>
    <n v="300"/>
    <n v="1200"/>
  </r>
  <r>
    <n v="143"/>
    <d v="2023-07-17T00:00:00"/>
    <x v="142"/>
    <s v="Female"/>
    <n v="45"/>
    <s v="Mid Age"/>
    <x v="1"/>
    <n v="1"/>
    <n v="50"/>
    <n v="50"/>
  </r>
  <r>
    <n v="144"/>
    <d v="2023-07-15T00:00:00"/>
    <x v="143"/>
    <s v="Female"/>
    <n v="59"/>
    <s v="Mid Age"/>
    <x v="0"/>
    <n v="3"/>
    <n v="500"/>
    <n v="1500"/>
  </r>
  <r>
    <n v="145"/>
    <d v="2023-11-02T00:00:00"/>
    <x v="144"/>
    <s v="Female"/>
    <n v="39"/>
    <s v="Mid Age"/>
    <x v="1"/>
    <n v="3"/>
    <n v="25"/>
    <n v="75"/>
  </r>
  <r>
    <n v="146"/>
    <d v="2023-08-28T00:00:00"/>
    <x v="145"/>
    <s v="Male"/>
    <n v="38"/>
    <s v="Mid Age"/>
    <x v="1"/>
    <n v="4"/>
    <n v="50"/>
    <n v="200"/>
  </r>
  <r>
    <n v="147"/>
    <d v="2023-09-28T00:00:00"/>
    <x v="146"/>
    <s v="Male"/>
    <n v="23"/>
    <s v="Young Age"/>
    <x v="2"/>
    <n v="1"/>
    <n v="300"/>
    <n v="300"/>
  </r>
  <r>
    <n v="148"/>
    <d v="2023-05-09T00:00:00"/>
    <x v="147"/>
    <s v="Male"/>
    <n v="18"/>
    <s v="Young Age"/>
    <x v="1"/>
    <n v="2"/>
    <n v="30"/>
    <n v="60"/>
  </r>
  <r>
    <n v="149"/>
    <d v="2023-10-11T00:00:00"/>
    <x v="148"/>
    <s v="Male"/>
    <n v="22"/>
    <s v="Young Age"/>
    <x v="1"/>
    <n v="3"/>
    <n v="25"/>
    <n v="75"/>
  </r>
  <r>
    <n v="150"/>
    <d v="2023-01-06T00:00:00"/>
    <x v="149"/>
    <s v="Female"/>
    <n v="58"/>
    <s v="Mid Age"/>
    <x v="2"/>
    <n v="4"/>
    <n v="30"/>
    <n v="120"/>
  </r>
  <r>
    <n v="151"/>
    <d v="2023-12-15T00:00:00"/>
    <x v="150"/>
    <s v="Male"/>
    <n v="29"/>
    <s v="Mid Age"/>
    <x v="1"/>
    <n v="1"/>
    <n v="50"/>
    <n v="50"/>
  </r>
  <r>
    <n v="152"/>
    <d v="2023-02-28T00:00:00"/>
    <x v="151"/>
    <s v="Male"/>
    <n v="43"/>
    <s v="Mid Age"/>
    <x v="2"/>
    <n v="4"/>
    <n v="500"/>
    <n v="2000"/>
  </r>
  <r>
    <n v="153"/>
    <d v="2023-12-16T00:00:00"/>
    <x v="152"/>
    <s v="Male"/>
    <n v="63"/>
    <s v="Mid Age"/>
    <x v="2"/>
    <n v="2"/>
    <n v="500"/>
    <n v="1000"/>
  </r>
  <r>
    <n v="154"/>
    <d v="2023-10-02T00:00:00"/>
    <x v="153"/>
    <s v="Male"/>
    <n v="51"/>
    <s v="Mid Age"/>
    <x v="2"/>
    <n v="3"/>
    <n v="300"/>
    <n v="900"/>
  </r>
  <r>
    <n v="155"/>
    <d v="2023-05-17T00:00:00"/>
    <x v="154"/>
    <s v="Male"/>
    <n v="31"/>
    <s v="Mid Age"/>
    <x v="2"/>
    <n v="4"/>
    <n v="500"/>
    <n v="2000"/>
  </r>
  <r>
    <n v="156"/>
    <d v="2023-11-25T00:00:00"/>
    <x v="155"/>
    <s v="Female"/>
    <n v="43"/>
    <s v="Mid Age"/>
    <x v="1"/>
    <n v="4"/>
    <n v="25"/>
    <n v="100"/>
  </r>
  <r>
    <n v="157"/>
    <d v="2023-06-24T00:00:00"/>
    <x v="156"/>
    <s v="Male"/>
    <n v="62"/>
    <s v="Mid Age"/>
    <x v="2"/>
    <n v="4"/>
    <n v="500"/>
    <n v="2000"/>
  </r>
  <r>
    <n v="158"/>
    <d v="2023-02-27T00:00:00"/>
    <x v="157"/>
    <s v="Female"/>
    <n v="44"/>
    <s v="Mid Age"/>
    <x v="2"/>
    <n v="2"/>
    <n v="300"/>
    <n v="600"/>
  </r>
  <r>
    <n v="159"/>
    <d v="2023-05-31T00:00:00"/>
    <x v="158"/>
    <s v="Male"/>
    <n v="26"/>
    <s v="Mid Age"/>
    <x v="1"/>
    <n v="4"/>
    <n v="50"/>
    <n v="200"/>
  </r>
  <r>
    <n v="160"/>
    <d v="2023-08-11T00:00:00"/>
    <x v="159"/>
    <s v="Female"/>
    <n v="43"/>
    <s v="Mid Age"/>
    <x v="1"/>
    <n v="2"/>
    <n v="50"/>
    <n v="100"/>
  </r>
  <r>
    <n v="161"/>
    <d v="2023-03-22T00:00:00"/>
    <x v="160"/>
    <s v="Male"/>
    <n v="64"/>
    <s v="Mid Age"/>
    <x v="0"/>
    <n v="2"/>
    <n v="500"/>
    <n v="1000"/>
  </r>
  <r>
    <n v="162"/>
    <d v="2023-08-21T00:00:00"/>
    <x v="161"/>
    <s v="Male"/>
    <n v="39"/>
    <s v="Mid Age"/>
    <x v="1"/>
    <n v="2"/>
    <n v="30"/>
    <n v="60"/>
  </r>
  <r>
    <n v="163"/>
    <d v="2023-01-02T00:00:00"/>
    <x v="162"/>
    <s v="Female"/>
    <n v="64"/>
    <s v="Mid Age"/>
    <x v="1"/>
    <n v="3"/>
    <n v="50"/>
    <n v="150"/>
  </r>
  <r>
    <n v="164"/>
    <d v="2023-05-15T00:00:00"/>
    <x v="163"/>
    <s v="Female"/>
    <n v="47"/>
    <s v="Mid Age"/>
    <x v="0"/>
    <n v="3"/>
    <n v="500"/>
    <n v="1500"/>
  </r>
  <r>
    <n v="165"/>
    <d v="2023-09-14T00:00:00"/>
    <x v="164"/>
    <s v="Female"/>
    <n v="60"/>
    <s v="Mid Age"/>
    <x v="1"/>
    <n v="4"/>
    <n v="300"/>
    <n v="1200"/>
  </r>
  <r>
    <n v="166"/>
    <d v="2023-04-02T00:00:00"/>
    <x v="165"/>
    <s v="Male"/>
    <n v="34"/>
    <s v="Mid Age"/>
    <x v="1"/>
    <n v="4"/>
    <n v="500"/>
    <n v="2000"/>
  </r>
  <r>
    <n v="167"/>
    <d v="2023-09-17T00:00:00"/>
    <x v="166"/>
    <s v="Female"/>
    <n v="43"/>
    <s v="Mid Age"/>
    <x v="1"/>
    <n v="3"/>
    <n v="50"/>
    <n v="150"/>
  </r>
  <r>
    <n v="168"/>
    <d v="2023-02-24T00:00:00"/>
    <x v="167"/>
    <s v="Male"/>
    <n v="53"/>
    <s v="Mid Age"/>
    <x v="1"/>
    <n v="1"/>
    <n v="300"/>
    <n v="300"/>
  </r>
  <r>
    <n v="169"/>
    <d v="2023-11-17T00:00:00"/>
    <x v="168"/>
    <s v="Male"/>
    <n v="18"/>
    <s v="Young Age"/>
    <x v="0"/>
    <n v="3"/>
    <n v="500"/>
    <n v="1500"/>
  </r>
  <r>
    <n v="170"/>
    <d v="2023-06-02T00:00:00"/>
    <x v="169"/>
    <s v="Female"/>
    <n v="25"/>
    <s v="Young Age"/>
    <x v="1"/>
    <n v="2"/>
    <n v="25"/>
    <n v="50"/>
  </r>
  <r>
    <n v="171"/>
    <d v="2023-11-24T00:00:00"/>
    <x v="170"/>
    <s v="Female"/>
    <n v="52"/>
    <s v="Mid Age"/>
    <x v="1"/>
    <n v="3"/>
    <n v="300"/>
    <n v="900"/>
  </r>
  <r>
    <n v="172"/>
    <d v="2023-09-17T00:00:00"/>
    <x v="171"/>
    <s v="Male"/>
    <n v="32"/>
    <s v="Mid Age"/>
    <x v="0"/>
    <n v="2"/>
    <n v="25"/>
    <n v="50"/>
  </r>
  <r>
    <n v="173"/>
    <d v="2023-11-08T00:00:00"/>
    <x v="172"/>
    <s v="Male"/>
    <n v="64"/>
    <s v="Mid Age"/>
    <x v="2"/>
    <n v="4"/>
    <n v="30"/>
    <n v="120"/>
  </r>
  <r>
    <n v="174"/>
    <d v="2023-04-12T00:00:00"/>
    <x v="173"/>
    <s v="Female"/>
    <n v="39"/>
    <s v="Mid Age"/>
    <x v="0"/>
    <n v="1"/>
    <n v="300"/>
    <n v="300"/>
  </r>
  <r>
    <n v="175"/>
    <d v="2023-03-20T00:00:00"/>
    <x v="174"/>
    <s v="Female"/>
    <n v="31"/>
    <s v="Mid Age"/>
    <x v="2"/>
    <n v="4"/>
    <n v="25"/>
    <n v="100"/>
  </r>
  <r>
    <n v="176"/>
    <d v="2023-07-11T00:00:00"/>
    <x v="175"/>
    <s v="Female"/>
    <n v="43"/>
    <s v="Mid Age"/>
    <x v="0"/>
    <n v="2"/>
    <n v="50"/>
    <n v="100"/>
  </r>
  <r>
    <n v="177"/>
    <d v="2023-03-24T00:00:00"/>
    <x v="176"/>
    <s v="Male"/>
    <n v="45"/>
    <s v="Mid Age"/>
    <x v="0"/>
    <n v="2"/>
    <n v="50"/>
    <n v="100"/>
  </r>
  <r>
    <n v="178"/>
    <d v="2023-10-04T00:00:00"/>
    <x v="177"/>
    <s v="Male"/>
    <n v="40"/>
    <s v="Mid Age"/>
    <x v="1"/>
    <n v="2"/>
    <n v="30"/>
    <n v="60"/>
  </r>
  <r>
    <n v="179"/>
    <d v="2023-09-29T00:00:00"/>
    <x v="178"/>
    <s v="Male"/>
    <n v="31"/>
    <s v="Mid Age"/>
    <x v="2"/>
    <n v="1"/>
    <n v="300"/>
    <n v="300"/>
  </r>
  <r>
    <n v="180"/>
    <d v="2023-01-01T00:00:00"/>
    <x v="179"/>
    <s v="Male"/>
    <n v="41"/>
    <s v="Mid Age"/>
    <x v="1"/>
    <n v="3"/>
    <n v="300"/>
    <n v="900"/>
  </r>
  <r>
    <n v="181"/>
    <d v="2023-11-03T00:00:00"/>
    <x v="180"/>
    <s v="Male"/>
    <n v="19"/>
    <s v="Young Age"/>
    <x v="2"/>
    <n v="4"/>
    <n v="300"/>
    <n v="1200"/>
  </r>
  <r>
    <n v="182"/>
    <d v="2023-06-15T00:00:00"/>
    <x v="181"/>
    <s v="Male"/>
    <n v="62"/>
    <s v="Mid Age"/>
    <x v="0"/>
    <n v="4"/>
    <n v="30"/>
    <n v="120"/>
  </r>
  <r>
    <n v="183"/>
    <d v="2023-09-08T00:00:00"/>
    <x v="182"/>
    <s v="Female"/>
    <n v="43"/>
    <s v="Mid Age"/>
    <x v="0"/>
    <n v="3"/>
    <n v="300"/>
    <n v="900"/>
  </r>
  <r>
    <n v="184"/>
    <d v="2023-01-10T00:00:00"/>
    <x v="183"/>
    <s v="Male"/>
    <n v="31"/>
    <s v="Mid Age"/>
    <x v="2"/>
    <n v="4"/>
    <n v="50"/>
    <n v="200"/>
  </r>
  <r>
    <n v="185"/>
    <d v="2023-02-27T00:00:00"/>
    <x v="184"/>
    <s v="Male"/>
    <n v="24"/>
    <s v="Young Age"/>
    <x v="1"/>
    <n v="1"/>
    <n v="25"/>
    <n v="25"/>
  </r>
  <r>
    <n v="186"/>
    <d v="2023-07-05T00:00:00"/>
    <x v="185"/>
    <s v="Male"/>
    <n v="20"/>
    <s v="Young Age"/>
    <x v="1"/>
    <n v="4"/>
    <n v="50"/>
    <n v="200"/>
  </r>
  <r>
    <n v="187"/>
    <d v="2023-06-07T00:00:00"/>
    <x v="186"/>
    <s v="Female"/>
    <n v="64"/>
    <s v="Mid Age"/>
    <x v="1"/>
    <n v="2"/>
    <n v="50"/>
    <n v="100"/>
  </r>
  <r>
    <n v="188"/>
    <d v="2023-05-03T00:00:00"/>
    <x v="187"/>
    <s v="Male"/>
    <n v="40"/>
    <s v="Mid Age"/>
    <x v="1"/>
    <n v="3"/>
    <n v="25"/>
    <n v="75"/>
  </r>
  <r>
    <n v="189"/>
    <d v="2023-01-30T00:00:00"/>
    <x v="188"/>
    <s v="Male"/>
    <n v="63"/>
    <s v="Mid Age"/>
    <x v="0"/>
    <n v="1"/>
    <n v="50"/>
    <n v="50"/>
  </r>
  <r>
    <n v="190"/>
    <d v="2023-05-04T00:00:00"/>
    <x v="189"/>
    <s v="Female"/>
    <n v="60"/>
    <s v="Mid Age"/>
    <x v="0"/>
    <n v="3"/>
    <n v="30"/>
    <n v="90"/>
  </r>
  <r>
    <n v="191"/>
    <d v="2023-10-18T00:00:00"/>
    <x v="190"/>
    <s v="Male"/>
    <n v="64"/>
    <s v="Mid Age"/>
    <x v="0"/>
    <n v="1"/>
    <n v="25"/>
    <n v="25"/>
  </r>
  <r>
    <n v="192"/>
    <d v="2023-02-10T00:00:00"/>
    <x v="191"/>
    <s v="Male"/>
    <n v="62"/>
    <s v="Mid Age"/>
    <x v="0"/>
    <n v="2"/>
    <n v="50"/>
    <n v="100"/>
  </r>
  <r>
    <n v="193"/>
    <d v="2023-02-13T00:00:00"/>
    <x v="192"/>
    <s v="Male"/>
    <n v="35"/>
    <s v="Mid Age"/>
    <x v="0"/>
    <n v="3"/>
    <n v="500"/>
    <n v="1500"/>
  </r>
  <r>
    <n v="194"/>
    <d v="2023-09-06T00:00:00"/>
    <x v="193"/>
    <s v="Male"/>
    <n v="55"/>
    <s v="Mid Age"/>
    <x v="1"/>
    <n v="4"/>
    <n v="50"/>
    <n v="200"/>
  </r>
  <r>
    <n v="195"/>
    <d v="2023-02-05T00:00:00"/>
    <x v="194"/>
    <s v="Male"/>
    <n v="52"/>
    <s v="Mid Age"/>
    <x v="1"/>
    <n v="1"/>
    <n v="30"/>
    <n v="30"/>
  </r>
  <r>
    <n v="196"/>
    <d v="2023-09-30T00:00:00"/>
    <x v="195"/>
    <s v="Female"/>
    <n v="32"/>
    <s v="Mid Age"/>
    <x v="1"/>
    <n v="3"/>
    <n v="300"/>
    <n v="900"/>
  </r>
  <r>
    <n v="197"/>
    <d v="2023-03-06T00:00:00"/>
    <x v="196"/>
    <s v="Female"/>
    <n v="42"/>
    <s v="Mid Age"/>
    <x v="1"/>
    <n v="4"/>
    <n v="50"/>
    <n v="200"/>
  </r>
  <r>
    <n v="198"/>
    <d v="2023-03-07T00:00:00"/>
    <x v="197"/>
    <s v="Female"/>
    <n v="54"/>
    <s v="Mid Age"/>
    <x v="0"/>
    <n v="3"/>
    <n v="300"/>
    <n v="900"/>
  </r>
  <r>
    <n v="199"/>
    <d v="2023-12-04T00:00:00"/>
    <x v="198"/>
    <s v="Male"/>
    <n v="45"/>
    <s v="Mid Age"/>
    <x v="0"/>
    <n v="3"/>
    <n v="500"/>
    <n v="1500"/>
  </r>
  <r>
    <n v="200"/>
    <d v="2023-09-01T00:00:00"/>
    <x v="199"/>
    <s v="Male"/>
    <n v="27"/>
    <s v="Mid Age"/>
    <x v="0"/>
    <n v="3"/>
    <n v="50"/>
    <n v="150"/>
  </r>
  <r>
    <n v="201"/>
    <d v="2023-10-09T00:00:00"/>
    <x v="200"/>
    <s v="Male"/>
    <n v="56"/>
    <s v="Mid Age"/>
    <x v="2"/>
    <n v="1"/>
    <n v="25"/>
    <n v="25"/>
  </r>
  <r>
    <n v="202"/>
    <d v="2023-03-26T00:00:00"/>
    <x v="201"/>
    <s v="Female"/>
    <n v="34"/>
    <s v="Mid Age"/>
    <x v="1"/>
    <n v="4"/>
    <n v="300"/>
    <n v="1200"/>
  </r>
  <r>
    <n v="203"/>
    <d v="2023-05-16T00:00:00"/>
    <x v="202"/>
    <s v="Male"/>
    <n v="56"/>
    <s v="Mid Age"/>
    <x v="1"/>
    <n v="2"/>
    <n v="500"/>
    <n v="1000"/>
  </r>
  <r>
    <n v="204"/>
    <d v="2023-09-28T00:00:00"/>
    <x v="203"/>
    <s v="Male"/>
    <n v="39"/>
    <s v="Mid Age"/>
    <x v="0"/>
    <n v="1"/>
    <n v="25"/>
    <n v="25"/>
  </r>
  <r>
    <n v="205"/>
    <d v="2023-11-07T00:00:00"/>
    <x v="204"/>
    <s v="Female"/>
    <n v="43"/>
    <s v="Mid Age"/>
    <x v="1"/>
    <n v="1"/>
    <n v="25"/>
    <n v="25"/>
  </r>
  <r>
    <n v="206"/>
    <d v="2023-08-05T00:00:00"/>
    <x v="205"/>
    <s v="Male"/>
    <n v="61"/>
    <s v="Mid Age"/>
    <x v="1"/>
    <n v="1"/>
    <n v="25"/>
    <n v="25"/>
  </r>
  <r>
    <n v="207"/>
    <d v="2023-04-19T00:00:00"/>
    <x v="206"/>
    <s v="Female"/>
    <n v="42"/>
    <s v="Mid Age"/>
    <x v="0"/>
    <n v="2"/>
    <n v="25"/>
    <n v="50"/>
  </r>
  <r>
    <n v="208"/>
    <d v="2023-10-04T00:00:00"/>
    <x v="207"/>
    <s v="Female"/>
    <n v="34"/>
    <s v="Mid Age"/>
    <x v="2"/>
    <n v="4"/>
    <n v="50"/>
    <n v="200"/>
  </r>
  <r>
    <n v="209"/>
    <d v="2023-12-20T00:00:00"/>
    <x v="208"/>
    <s v="Female"/>
    <n v="30"/>
    <s v="Mid Age"/>
    <x v="2"/>
    <n v="4"/>
    <n v="50"/>
    <n v="200"/>
  </r>
  <r>
    <n v="210"/>
    <d v="2023-04-13T00:00:00"/>
    <x v="209"/>
    <s v="Male"/>
    <n v="37"/>
    <s v="Mid Age"/>
    <x v="2"/>
    <n v="4"/>
    <n v="50"/>
    <n v="200"/>
  </r>
  <r>
    <n v="211"/>
    <d v="2024-01-01T00:00:00"/>
    <x v="210"/>
    <s v="Male"/>
    <n v="42"/>
    <s v="Mid Age"/>
    <x v="0"/>
    <n v="3"/>
    <n v="500"/>
    <n v="1500"/>
  </r>
  <r>
    <n v="212"/>
    <d v="2023-06-09T00:00:00"/>
    <x v="211"/>
    <s v="Male"/>
    <n v="21"/>
    <s v="Young Age"/>
    <x v="1"/>
    <n v="3"/>
    <n v="500"/>
    <n v="1500"/>
  </r>
  <r>
    <n v="213"/>
    <d v="2023-07-24T00:00:00"/>
    <x v="212"/>
    <s v="Male"/>
    <n v="27"/>
    <s v="Mid Age"/>
    <x v="0"/>
    <n v="3"/>
    <n v="500"/>
    <n v="1500"/>
  </r>
  <r>
    <n v="214"/>
    <d v="2023-12-10T00:00:00"/>
    <x v="213"/>
    <s v="Male"/>
    <n v="20"/>
    <s v="Young Age"/>
    <x v="0"/>
    <n v="2"/>
    <n v="30"/>
    <n v="60"/>
  </r>
  <r>
    <n v="215"/>
    <d v="2023-11-29T00:00:00"/>
    <x v="214"/>
    <s v="Male"/>
    <n v="58"/>
    <s v="Mid Age"/>
    <x v="1"/>
    <n v="3"/>
    <n v="500"/>
    <n v="1500"/>
  </r>
  <r>
    <n v="216"/>
    <d v="2023-07-11T00:00:00"/>
    <x v="215"/>
    <s v="Male"/>
    <n v="62"/>
    <s v="Mid Age"/>
    <x v="2"/>
    <n v="2"/>
    <n v="50"/>
    <n v="100"/>
  </r>
  <r>
    <n v="217"/>
    <d v="2023-08-13T00:00:00"/>
    <x v="216"/>
    <s v="Female"/>
    <n v="35"/>
    <s v="Mid Age"/>
    <x v="2"/>
    <n v="4"/>
    <n v="50"/>
    <n v="200"/>
  </r>
  <r>
    <n v="218"/>
    <d v="2023-09-22T00:00:00"/>
    <x v="217"/>
    <s v="Male"/>
    <n v="64"/>
    <s v="Mid Age"/>
    <x v="0"/>
    <n v="3"/>
    <n v="30"/>
    <n v="90"/>
  </r>
  <r>
    <n v="219"/>
    <d v="2023-08-20T00:00:00"/>
    <x v="218"/>
    <s v="Female"/>
    <n v="53"/>
    <s v="Mid Age"/>
    <x v="2"/>
    <n v="3"/>
    <n v="30"/>
    <n v="90"/>
  </r>
  <r>
    <n v="220"/>
    <d v="2023-03-03T00:00:00"/>
    <x v="219"/>
    <s v="Male"/>
    <n v="64"/>
    <s v="Mid Age"/>
    <x v="0"/>
    <n v="1"/>
    <n v="500"/>
    <n v="500"/>
  </r>
  <r>
    <n v="221"/>
    <d v="2023-05-07T00:00:00"/>
    <x v="220"/>
    <s v="Male"/>
    <n v="39"/>
    <s v="Mid Age"/>
    <x v="0"/>
    <n v="2"/>
    <n v="300"/>
    <n v="600"/>
  </r>
  <r>
    <n v="222"/>
    <d v="2023-04-26T00:00:00"/>
    <x v="221"/>
    <s v="Male"/>
    <n v="51"/>
    <s v="Mid Age"/>
    <x v="1"/>
    <n v="4"/>
    <n v="30"/>
    <n v="120"/>
  </r>
  <r>
    <n v="223"/>
    <d v="2023-02-02T00:00:00"/>
    <x v="222"/>
    <s v="Female"/>
    <n v="64"/>
    <s v="Mid Age"/>
    <x v="1"/>
    <n v="1"/>
    <n v="25"/>
    <n v="25"/>
  </r>
  <r>
    <n v="224"/>
    <d v="2023-06-23T00:00:00"/>
    <x v="223"/>
    <s v="Female"/>
    <n v="25"/>
    <s v="Young Age"/>
    <x v="1"/>
    <n v="1"/>
    <n v="50"/>
    <n v="50"/>
  </r>
  <r>
    <n v="225"/>
    <d v="2023-01-11T00:00:00"/>
    <x v="224"/>
    <s v="Female"/>
    <n v="57"/>
    <s v="Mid Age"/>
    <x v="0"/>
    <n v="4"/>
    <n v="25"/>
    <n v="100"/>
  </r>
  <r>
    <n v="226"/>
    <d v="2023-10-29T00:00:00"/>
    <x v="225"/>
    <s v="Female"/>
    <n v="61"/>
    <s v="Mid Age"/>
    <x v="1"/>
    <n v="1"/>
    <n v="50"/>
    <n v="50"/>
  </r>
  <r>
    <n v="227"/>
    <d v="2023-10-11T00:00:00"/>
    <x v="226"/>
    <s v="Male"/>
    <n v="36"/>
    <s v="Mid Age"/>
    <x v="2"/>
    <n v="2"/>
    <n v="50"/>
    <n v="100"/>
  </r>
  <r>
    <n v="228"/>
    <d v="2023-04-28T00:00:00"/>
    <x v="227"/>
    <s v="Female"/>
    <n v="59"/>
    <s v="Mid Age"/>
    <x v="2"/>
    <n v="2"/>
    <n v="30"/>
    <n v="60"/>
  </r>
  <r>
    <n v="229"/>
    <d v="2023-10-29T00:00:00"/>
    <x v="228"/>
    <s v="Male"/>
    <n v="58"/>
    <s v="Mid Age"/>
    <x v="0"/>
    <n v="3"/>
    <n v="30"/>
    <n v="90"/>
  </r>
  <r>
    <n v="230"/>
    <d v="2023-04-23T00:00:00"/>
    <x v="229"/>
    <s v="Male"/>
    <n v="54"/>
    <s v="Mid Age"/>
    <x v="0"/>
    <n v="1"/>
    <n v="25"/>
    <n v="25"/>
  </r>
  <r>
    <n v="231"/>
    <d v="2023-01-04T00:00:00"/>
    <x v="230"/>
    <s v="Female"/>
    <n v="23"/>
    <s v="Young Age"/>
    <x v="1"/>
    <n v="3"/>
    <n v="50"/>
    <n v="150"/>
  </r>
  <r>
    <n v="232"/>
    <d v="2023-02-06T00:00:00"/>
    <x v="231"/>
    <s v="Female"/>
    <n v="43"/>
    <s v="Mid Age"/>
    <x v="0"/>
    <n v="1"/>
    <n v="25"/>
    <n v="25"/>
  </r>
  <r>
    <n v="233"/>
    <d v="2023-12-29T00:00:00"/>
    <x v="232"/>
    <s v="Female"/>
    <n v="51"/>
    <s v="Mid Age"/>
    <x v="0"/>
    <n v="2"/>
    <n v="300"/>
    <n v="600"/>
  </r>
  <r>
    <n v="234"/>
    <d v="2023-11-20T00:00:00"/>
    <x v="233"/>
    <s v="Female"/>
    <n v="62"/>
    <s v="Mid Age"/>
    <x v="2"/>
    <n v="2"/>
    <n v="25"/>
    <n v="50"/>
  </r>
  <r>
    <n v="235"/>
    <d v="2023-01-31T00:00:00"/>
    <x v="234"/>
    <s v="Female"/>
    <n v="23"/>
    <s v="Young Age"/>
    <x v="2"/>
    <n v="2"/>
    <n v="500"/>
    <n v="1000"/>
  </r>
  <r>
    <n v="236"/>
    <d v="2023-04-28T00:00:00"/>
    <x v="235"/>
    <s v="Female"/>
    <n v="54"/>
    <s v="Mid Age"/>
    <x v="1"/>
    <n v="1"/>
    <n v="25"/>
    <n v="25"/>
  </r>
  <r>
    <n v="237"/>
    <d v="2023-02-04T00:00:00"/>
    <x v="236"/>
    <s v="Female"/>
    <n v="50"/>
    <s v="Mid Age"/>
    <x v="0"/>
    <n v="2"/>
    <n v="500"/>
    <n v="1000"/>
  </r>
  <r>
    <n v="238"/>
    <d v="2023-01-17T00:00:00"/>
    <x v="237"/>
    <s v="Female"/>
    <n v="39"/>
    <s v="Mid Age"/>
    <x v="0"/>
    <n v="1"/>
    <n v="500"/>
    <n v="500"/>
  </r>
  <r>
    <n v="239"/>
    <d v="2023-06-19T00:00:00"/>
    <x v="238"/>
    <s v="Male"/>
    <n v="38"/>
    <s v="Mid Age"/>
    <x v="2"/>
    <n v="3"/>
    <n v="500"/>
    <n v="1500"/>
  </r>
  <r>
    <n v="240"/>
    <d v="2023-02-06T00:00:00"/>
    <x v="239"/>
    <s v="Female"/>
    <n v="23"/>
    <s v="Young Age"/>
    <x v="0"/>
    <n v="1"/>
    <n v="300"/>
    <n v="300"/>
  </r>
  <r>
    <n v="241"/>
    <d v="2023-09-21T00:00:00"/>
    <x v="240"/>
    <s v="Female"/>
    <n v="23"/>
    <s v="Young Age"/>
    <x v="2"/>
    <n v="3"/>
    <n v="25"/>
    <n v="75"/>
  </r>
  <r>
    <n v="242"/>
    <d v="2023-05-02T00:00:00"/>
    <x v="241"/>
    <s v="Male"/>
    <n v="21"/>
    <s v="Young Age"/>
    <x v="1"/>
    <n v="1"/>
    <n v="25"/>
    <n v="25"/>
  </r>
  <r>
    <n v="243"/>
    <d v="2023-05-23T00:00:00"/>
    <x v="242"/>
    <s v="Female"/>
    <n v="47"/>
    <s v="Mid Age"/>
    <x v="2"/>
    <n v="3"/>
    <n v="300"/>
    <n v="900"/>
  </r>
  <r>
    <n v="244"/>
    <d v="2023-12-09T00:00:00"/>
    <x v="243"/>
    <s v="Male"/>
    <n v="28"/>
    <s v="Mid Age"/>
    <x v="0"/>
    <n v="2"/>
    <n v="50"/>
    <n v="100"/>
  </r>
  <r>
    <n v="245"/>
    <d v="2023-09-06T00:00:00"/>
    <x v="244"/>
    <s v="Male"/>
    <n v="47"/>
    <s v="Mid Age"/>
    <x v="1"/>
    <n v="3"/>
    <n v="30"/>
    <n v="90"/>
  </r>
  <r>
    <n v="246"/>
    <d v="2023-04-20T00:00:00"/>
    <x v="245"/>
    <s v="Female"/>
    <n v="48"/>
    <s v="Mid Age"/>
    <x v="2"/>
    <n v="2"/>
    <n v="25"/>
    <n v="50"/>
  </r>
  <r>
    <n v="247"/>
    <d v="2023-10-04T00:00:00"/>
    <x v="246"/>
    <s v="Male"/>
    <n v="41"/>
    <s v="Mid Age"/>
    <x v="2"/>
    <n v="2"/>
    <n v="30"/>
    <n v="60"/>
  </r>
  <r>
    <n v="248"/>
    <d v="2023-03-09T00:00:00"/>
    <x v="247"/>
    <s v="Male"/>
    <n v="26"/>
    <s v="Mid Age"/>
    <x v="1"/>
    <n v="3"/>
    <n v="300"/>
    <n v="900"/>
  </r>
  <r>
    <n v="249"/>
    <d v="2023-10-20T00:00:00"/>
    <x v="248"/>
    <s v="Male"/>
    <n v="20"/>
    <s v="Young Age"/>
    <x v="1"/>
    <n v="1"/>
    <n v="50"/>
    <n v="50"/>
  </r>
  <r>
    <n v="250"/>
    <d v="2023-10-23T00:00:00"/>
    <x v="249"/>
    <s v="Male"/>
    <n v="48"/>
    <s v="Mid Age"/>
    <x v="2"/>
    <n v="1"/>
    <n v="50"/>
    <n v="50"/>
  </r>
  <r>
    <n v="251"/>
    <d v="2023-08-31T00:00:00"/>
    <x v="250"/>
    <s v="Female"/>
    <n v="57"/>
    <s v="Mid Age"/>
    <x v="0"/>
    <n v="4"/>
    <n v="50"/>
    <n v="200"/>
  </r>
  <r>
    <n v="252"/>
    <d v="2023-05-05T00:00:00"/>
    <x v="251"/>
    <s v="Male"/>
    <n v="54"/>
    <s v="Mid Age"/>
    <x v="2"/>
    <n v="1"/>
    <n v="300"/>
    <n v="300"/>
  </r>
  <r>
    <n v="253"/>
    <d v="2023-08-31T00:00:00"/>
    <x v="252"/>
    <s v="Female"/>
    <n v="53"/>
    <s v="Mid Age"/>
    <x v="1"/>
    <n v="4"/>
    <n v="500"/>
    <n v="2000"/>
  </r>
  <r>
    <n v="254"/>
    <d v="2023-07-28T00:00:00"/>
    <x v="253"/>
    <s v="Male"/>
    <n v="41"/>
    <s v="Mid Age"/>
    <x v="2"/>
    <n v="1"/>
    <n v="500"/>
    <n v="500"/>
  </r>
  <r>
    <n v="255"/>
    <d v="2023-04-08T00:00:00"/>
    <x v="254"/>
    <s v="Male"/>
    <n v="48"/>
    <s v="Mid Age"/>
    <x v="1"/>
    <n v="1"/>
    <n v="30"/>
    <n v="30"/>
  </r>
  <r>
    <n v="256"/>
    <d v="2023-02-18T00:00:00"/>
    <x v="255"/>
    <s v="Male"/>
    <n v="23"/>
    <s v="Young Age"/>
    <x v="1"/>
    <n v="2"/>
    <n v="500"/>
    <n v="1000"/>
  </r>
  <r>
    <n v="257"/>
    <d v="2023-02-19T00:00:00"/>
    <x v="256"/>
    <s v="Male"/>
    <n v="19"/>
    <s v="Young Age"/>
    <x v="0"/>
    <n v="4"/>
    <n v="500"/>
    <n v="2000"/>
  </r>
  <r>
    <n v="258"/>
    <d v="2023-12-04T00:00:00"/>
    <x v="257"/>
    <s v="Female"/>
    <n v="37"/>
    <s v="Mid Age"/>
    <x v="1"/>
    <n v="1"/>
    <n v="50"/>
    <n v="50"/>
  </r>
  <r>
    <n v="259"/>
    <d v="2023-08-09T00:00:00"/>
    <x v="258"/>
    <s v="Female"/>
    <n v="45"/>
    <s v="Mid Age"/>
    <x v="1"/>
    <n v="4"/>
    <n v="50"/>
    <n v="200"/>
  </r>
  <r>
    <n v="260"/>
    <d v="2023-07-01T00:00:00"/>
    <x v="259"/>
    <s v="Male"/>
    <n v="28"/>
    <s v="Mid Age"/>
    <x v="0"/>
    <n v="2"/>
    <n v="30"/>
    <n v="60"/>
  </r>
  <r>
    <n v="261"/>
    <d v="2023-08-05T00:00:00"/>
    <x v="260"/>
    <s v="Male"/>
    <n v="21"/>
    <s v="Young Age"/>
    <x v="1"/>
    <n v="2"/>
    <n v="25"/>
    <n v="50"/>
  </r>
  <r>
    <n v="262"/>
    <d v="2023-07-30T00:00:00"/>
    <x v="261"/>
    <s v="Female"/>
    <n v="32"/>
    <s v="Mid Age"/>
    <x v="0"/>
    <n v="4"/>
    <n v="30"/>
    <n v="120"/>
  </r>
  <r>
    <n v="263"/>
    <d v="2023-08-28T00:00:00"/>
    <x v="262"/>
    <s v="Male"/>
    <n v="23"/>
    <s v="Young Age"/>
    <x v="0"/>
    <n v="2"/>
    <n v="30"/>
    <n v="60"/>
  </r>
  <r>
    <n v="264"/>
    <d v="2023-01-28T00:00:00"/>
    <x v="263"/>
    <s v="Male"/>
    <n v="47"/>
    <s v="Mid Age"/>
    <x v="1"/>
    <n v="3"/>
    <n v="300"/>
    <n v="900"/>
  </r>
  <r>
    <n v="265"/>
    <d v="2023-12-11T00:00:00"/>
    <x v="264"/>
    <s v="Male"/>
    <n v="55"/>
    <s v="Mid Age"/>
    <x v="1"/>
    <n v="3"/>
    <n v="300"/>
    <n v="900"/>
  </r>
  <r>
    <n v="266"/>
    <d v="2023-12-01T00:00:00"/>
    <x v="265"/>
    <s v="Female"/>
    <n v="19"/>
    <s v="Young Age"/>
    <x v="2"/>
    <n v="2"/>
    <n v="30"/>
    <n v="60"/>
  </r>
  <r>
    <n v="267"/>
    <d v="2023-11-27T00:00:00"/>
    <x v="266"/>
    <s v="Female"/>
    <n v="32"/>
    <s v="Mid Age"/>
    <x v="0"/>
    <n v="3"/>
    <n v="30"/>
    <n v="90"/>
  </r>
  <r>
    <n v="268"/>
    <d v="2023-02-20T00:00:00"/>
    <x v="267"/>
    <s v="Female"/>
    <n v="28"/>
    <s v="Mid Age"/>
    <x v="2"/>
    <n v="1"/>
    <n v="30"/>
    <n v="30"/>
  </r>
  <r>
    <n v="269"/>
    <d v="2023-02-01T00:00:00"/>
    <x v="268"/>
    <s v="Male"/>
    <n v="25"/>
    <s v="Young Age"/>
    <x v="1"/>
    <n v="4"/>
    <n v="500"/>
    <n v="2000"/>
  </r>
  <r>
    <n v="270"/>
    <d v="2023-07-26T00:00:00"/>
    <x v="269"/>
    <s v="Male"/>
    <n v="43"/>
    <s v="Mid Age"/>
    <x v="2"/>
    <n v="1"/>
    <n v="300"/>
    <n v="300"/>
  </r>
  <r>
    <n v="271"/>
    <d v="2023-06-23T00:00:00"/>
    <x v="270"/>
    <s v="Female"/>
    <n v="62"/>
    <s v="Mid Age"/>
    <x v="0"/>
    <n v="4"/>
    <n v="30"/>
    <n v="120"/>
  </r>
  <r>
    <n v="272"/>
    <d v="2023-02-25T00:00:00"/>
    <x v="271"/>
    <s v="Female"/>
    <n v="61"/>
    <s v="Mid Age"/>
    <x v="2"/>
    <n v="2"/>
    <n v="50"/>
    <n v="100"/>
  </r>
  <r>
    <n v="273"/>
    <d v="2023-05-08T00:00:00"/>
    <x v="272"/>
    <s v="Female"/>
    <n v="22"/>
    <s v="Young Age"/>
    <x v="0"/>
    <n v="1"/>
    <n v="50"/>
    <n v="50"/>
  </r>
  <r>
    <n v="274"/>
    <d v="2023-04-09T00:00:00"/>
    <x v="273"/>
    <s v="Female"/>
    <n v="23"/>
    <s v="Young Age"/>
    <x v="1"/>
    <n v="2"/>
    <n v="500"/>
    <n v="1000"/>
  </r>
  <r>
    <n v="275"/>
    <d v="2023-04-08T00:00:00"/>
    <x v="274"/>
    <s v="Male"/>
    <n v="43"/>
    <s v="Mid Age"/>
    <x v="1"/>
    <n v="2"/>
    <n v="500"/>
    <n v="1000"/>
  </r>
  <r>
    <n v="276"/>
    <d v="2023-10-02T00:00:00"/>
    <x v="275"/>
    <s v="Female"/>
    <n v="21"/>
    <s v="Young Age"/>
    <x v="0"/>
    <n v="4"/>
    <n v="25"/>
    <n v="100"/>
  </r>
  <r>
    <n v="277"/>
    <d v="2023-08-18T00:00:00"/>
    <x v="276"/>
    <s v="Male"/>
    <n v="36"/>
    <s v="Mid Age"/>
    <x v="1"/>
    <n v="4"/>
    <n v="25"/>
    <n v="100"/>
  </r>
  <r>
    <n v="278"/>
    <d v="2023-03-13T00:00:00"/>
    <x v="277"/>
    <s v="Female"/>
    <n v="37"/>
    <s v="Mid Age"/>
    <x v="1"/>
    <n v="4"/>
    <n v="25"/>
    <n v="100"/>
  </r>
  <r>
    <n v="279"/>
    <d v="2023-08-05T00:00:00"/>
    <x v="278"/>
    <s v="Male"/>
    <n v="50"/>
    <s v="Mid Age"/>
    <x v="1"/>
    <n v="1"/>
    <n v="500"/>
    <n v="500"/>
  </r>
  <r>
    <n v="280"/>
    <d v="2023-04-04T00:00:00"/>
    <x v="279"/>
    <s v="Female"/>
    <n v="37"/>
    <s v="Mid Age"/>
    <x v="1"/>
    <n v="3"/>
    <n v="500"/>
    <n v="1500"/>
  </r>
  <r>
    <n v="281"/>
    <d v="2023-05-23T00:00:00"/>
    <x v="280"/>
    <s v="Female"/>
    <n v="29"/>
    <s v="Mid Age"/>
    <x v="0"/>
    <n v="4"/>
    <n v="500"/>
    <n v="2000"/>
  </r>
  <r>
    <n v="282"/>
    <d v="2023-08-25T00:00:00"/>
    <x v="281"/>
    <s v="Female"/>
    <n v="64"/>
    <s v="Mid Age"/>
    <x v="2"/>
    <n v="4"/>
    <n v="50"/>
    <n v="200"/>
  </r>
  <r>
    <n v="283"/>
    <d v="2023-05-08T00:00:00"/>
    <x v="282"/>
    <s v="Female"/>
    <n v="18"/>
    <s v="Young Age"/>
    <x v="2"/>
    <n v="1"/>
    <n v="500"/>
    <n v="500"/>
  </r>
  <r>
    <n v="284"/>
    <d v="2023-02-08T00:00:00"/>
    <x v="283"/>
    <s v="Male"/>
    <n v="43"/>
    <s v="Mid Age"/>
    <x v="1"/>
    <n v="4"/>
    <n v="50"/>
    <n v="200"/>
  </r>
  <r>
    <n v="285"/>
    <d v="2023-08-15T00:00:00"/>
    <x v="284"/>
    <s v="Female"/>
    <n v="31"/>
    <s v="Mid Age"/>
    <x v="2"/>
    <n v="1"/>
    <n v="25"/>
    <n v="25"/>
  </r>
  <r>
    <n v="286"/>
    <d v="2023-10-09T00:00:00"/>
    <x v="285"/>
    <s v="Male"/>
    <n v="55"/>
    <s v="Mid Age"/>
    <x v="2"/>
    <n v="2"/>
    <n v="25"/>
    <n v="50"/>
  </r>
  <r>
    <n v="287"/>
    <d v="2023-02-20T00:00:00"/>
    <x v="286"/>
    <s v="Male"/>
    <n v="54"/>
    <s v="Mid Age"/>
    <x v="1"/>
    <n v="4"/>
    <n v="25"/>
    <n v="100"/>
  </r>
  <r>
    <n v="288"/>
    <d v="2023-01-26T00:00:00"/>
    <x v="287"/>
    <s v="Male"/>
    <n v="28"/>
    <s v="Mid Age"/>
    <x v="1"/>
    <n v="4"/>
    <n v="30"/>
    <n v="120"/>
  </r>
  <r>
    <n v="289"/>
    <d v="2023-11-30T00:00:00"/>
    <x v="288"/>
    <s v="Male"/>
    <n v="53"/>
    <s v="Mid Age"/>
    <x v="2"/>
    <n v="2"/>
    <n v="30"/>
    <n v="60"/>
  </r>
  <r>
    <n v="290"/>
    <d v="2023-10-04T00:00:00"/>
    <x v="289"/>
    <s v="Female"/>
    <n v="30"/>
    <s v="Mid Age"/>
    <x v="0"/>
    <n v="2"/>
    <n v="300"/>
    <n v="600"/>
  </r>
  <r>
    <n v="291"/>
    <d v="2023-01-08T00:00:00"/>
    <x v="290"/>
    <s v="Male"/>
    <n v="60"/>
    <s v="Mid Age"/>
    <x v="1"/>
    <n v="2"/>
    <n v="300"/>
    <n v="600"/>
  </r>
  <r>
    <n v="292"/>
    <d v="2023-02-17T00:00:00"/>
    <x v="291"/>
    <s v="Male"/>
    <n v="20"/>
    <s v="Young Age"/>
    <x v="0"/>
    <n v="4"/>
    <n v="300"/>
    <n v="1200"/>
  </r>
  <r>
    <n v="293"/>
    <d v="2023-05-02T00:00:00"/>
    <x v="292"/>
    <s v="Male"/>
    <n v="50"/>
    <s v="Mid Age"/>
    <x v="2"/>
    <n v="3"/>
    <n v="30"/>
    <n v="90"/>
  </r>
  <r>
    <n v="294"/>
    <d v="2023-03-27T00:00:00"/>
    <x v="293"/>
    <s v="Female"/>
    <n v="23"/>
    <s v="Young Age"/>
    <x v="1"/>
    <n v="3"/>
    <n v="30"/>
    <n v="90"/>
  </r>
  <r>
    <n v="295"/>
    <d v="2023-07-28T00:00:00"/>
    <x v="294"/>
    <s v="Female"/>
    <n v="27"/>
    <s v="Mid Age"/>
    <x v="0"/>
    <n v="3"/>
    <n v="300"/>
    <n v="900"/>
  </r>
  <r>
    <n v="296"/>
    <d v="2023-09-06T00:00:00"/>
    <x v="295"/>
    <s v="Female"/>
    <n v="22"/>
    <s v="Young Age"/>
    <x v="1"/>
    <n v="4"/>
    <n v="300"/>
    <n v="1200"/>
  </r>
  <r>
    <n v="297"/>
    <d v="2023-09-04T00:00:00"/>
    <x v="296"/>
    <s v="Female"/>
    <n v="40"/>
    <s v="Mid Age"/>
    <x v="2"/>
    <n v="2"/>
    <n v="500"/>
    <n v="1000"/>
  </r>
  <r>
    <n v="298"/>
    <d v="2023-04-20T00:00:00"/>
    <x v="297"/>
    <s v="Male"/>
    <n v="27"/>
    <s v="Mid Age"/>
    <x v="0"/>
    <n v="4"/>
    <n v="300"/>
    <n v="1200"/>
  </r>
  <r>
    <n v="299"/>
    <d v="2023-07-25T00:00:00"/>
    <x v="298"/>
    <s v="Male"/>
    <n v="61"/>
    <s v="Mid Age"/>
    <x v="2"/>
    <n v="2"/>
    <n v="500"/>
    <n v="1000"/>
  </r>
  <r>
    <n v="300"/>
    <d v="2023-01-31T00:00:00"/>
    <x v="299"/>
    <s v="Female"/>
    <n v="19"/>
    <s v="Young Age"/>
    <x v="2"/>
    <n v="4"/>
    <n v="50"/>
    <n v="200"/>
  </r>
  <r>
    <n v="301"/>
    <d v="2023-03-26T00:00:00"/>
    <x v="300"/>
    <s v="Male"/>
    <n v="30"/>
    <s v="Mid Age"/>
    <x v="1"/>
    <n v="4"/>
    <n v="30"/>
    <n v="120"/>
  </r>
  <r>
    <n v="302"/>
    <d v="2023-07-14T00:00:00"/>
    <x v="301"/>
    <s v="Male"/>
    <n v="57"/>
    <s v="Mid Age"/>
    <x v="0"/>
    <n v="2"/>
    <n v="300"/>
    <n v="600"/>
  </r>
  <r>
    <n v="303"/>
    <d v="2023-01-02T00:00:00"/>
    <x v="302"/>
    <s v="Male"/>
    <n v="19"/>
    <s v="Young Age"/>
    <x v="2"/>
    <n v="3"/>
    <n v="30"/>
    <n v="90"/>
  </r>
  <r>
    <n v="304"/>
    <d v="2023-07-19T00:00:00"/>
    <x v="303"/>
    <s v="Female"/>
    <n v="37"/>
    <s v="Mid Age"/>
    <x v="2"/>
    <n v="2"/>
    <n v="30"/>
    <n v="60"/>
  </r>
  <r>
    <n v="305"/>
    <d v="2023-05-16T00:00:00"/>
    <x v="304"/>
    <s v="Female"/>
    <n v="18"/>
    <s v="Young Age"/>
    <x v="0"/>
    <n v="1"/>
    <n v="30"/>
    <n v="30"/>
  </r>
  <r>
    <n v="306"/>
    <d v="2023-08-21T00:00:00"/>
    <x v="305"/>
    <s v="Male"/>
    <n v="54"/>
    <s v="Mid Age"/>
    <x v="2"/>
    <n v="1"/>
    <n v="50"/>
    <n v="50"/>
  </r>
  <r>
    <n v="307"/>
    <d v="2023-05-27T00:00:00"/>
    <x v="306"/>
    <s v="Female"/>
    <n v="26"/>
    <s v="Mid Age"/>
    <x v="2"/>
    <n v="2"/>
    <n v="25"/>
    <n v="50"/>
  </r>
  <r>
    <n v="308"/>
    <d v="2023-08-05T00:00:00"/>
    <x v="307"/>
    <s v="Female"/>
    <n v="34"/>
    <s v="Mid Age"/>
    <x v="0"/>
    <n v="4"/>
    <n v="300"/>
    <n v="1200"/>
  </r>
  <r>
    <n v="309"/>
    <d v="2023-12-23T00:00:00"/>
    <x v="308"/>
    <s v="Female"/>
    <n v="26"/>
    <s v="Mid Age"/>
    <x v="0"/>
    <n v="1"/>
    <n v="25"/>
    <n v="25"/>
  </r>
  <r>
    <n v="310"/>
    <d v="2023-10-12T00:00:00"/>
    <x v="309"/>
    <s v="Female"/>
    <n v="28"/>
    <s v="Mid Age"/>
    <x v="0"/>
    <n v="1"/>
    <n v="25"/>
    <n v="25"/>
  </r>
  <r>
    <n v="311"/>
    <d v="2023-12-05T00:00:00"/>
    <x v="310"/>
    <s v="Female"/>
    <n v="32"/>
    <s v="Mid Age"/>
    <x v="0"/>
    <n v="4"/>
    <n v="25"/>
    <n v="100"/>
  </r>
  <r>
    <n v="312"/>
    <d v="2023-09-07T00:00:00"/>
    <x v="311"/>
    <s v="Male"/>
    <n v="41"/>
    <s v="Mid Age"/>
    <x v="1"/>
    <n v="4"/>
    <n v="30"/>
    <n v="120"/>
  </r>
  <r>
    <n v="313"/>
    <d v="2023-03-21T00:00:00"/>
    <x v="312"/>
    <s v="Female"/>
    <n v="55"/>
    <s v="Mid Age"/>
    <x v="0"/>
    <n v="3"/>
    <n v="500"/>
    <n v="1500"/>
  </r>
  <r>
    <n v="314"/>
    <d v="2023-04-08T00:00:00"/>
    <x v="313"/>
    <s v="Male"/>
    <n v="52"/>
    <s v="Mid Age"/>
    <x v="1"/>
    <n v="4"/>
    <n v="30"/>
    <n v="120"/>
  </r>
  <r>
    <n v="315"/>
    <d v="2023-06-01T00:00:00"/>
    <x v="314"/>
    <s v="Male"/>
    <n v="47"/>
    <s v="Mid Age"/>
    <x v="1"/>
    <n v="2"/>
    <n v="30"/>
    <n v="60"/>
  </r>
  <r>
    <n v="316"/>
    <d v="2023-04-22T00:00:00"/>
    <x v="315"/>
    <s v="Female"/>
    <n v="48"/>
    <s v="Mid Age"/>
    <x v="1"/>
    <n v="2"/>
    <n v="25"/>
    <n v="50"/>
  </r>
  <r>
    <n v="317"/>
    <d v="2023-01-30T00:00:00"/>
    <x v="316"/>
    <s v="Male"/>
    <n v="22"/>
    <s v="Young Age"/>
    <x v="2"/>
    <n v="3"/>
    <n v="30"/>
    <n v="90"/>
  </r>
  <r>
    <n v="318"/>
    <d v="2023-10-24T00:00:00"/>
    <x v="317"/>
    <s v="Male"/>
    <n v="61"/>
    <s v="Mid Age"/>
    <x v="1"/>
    <n v="1"/>
    <n v="25"/>
    <n v="25"/>
  </r>
  <r>
    <n v="319"/>
    <d v="2023-10-05T00:00:00"/>
    <x v="318"/>
    <s v="Male"/>
    <n v="31"/>
    <s v="Mid Age"/>
    <x v="1"/>
    <n v="1"/>
    <n v="500"/>
    <n v="500"/>
  </r>
  <r>
    <n v="320"/>
    <d v="2023-02-01T00:00:00"/>
    <x v="319"/>
    <s v="Female"/>
    <n v="28"/>
    <s v="Mid Age"/>
    <x v="2"/>
    <n v="4"/>
    <n v="300"/>
    <n v="1200"/>
  </r>
  <r>
    <n v="321"/>
    <d v="2023-06-10T00:00:00"/>
    <x v="320"/>
    <s v="Female"/>
    <n v="26"/>
    <s v="Mid Age"/>
    <x v="2"/>
    <n v="2"/>
    <n v="25"/>
    <n v="50"/>
  </r>
  <r>
    <n v="322"/>
    <d v="2023-01-30T00:00:00"/>
    <x v="321"/>
    <s v="Male"/>
    <n v="51"/>
    <s v="Mid Age"/>
    <x v="2"/>
    <n v="1"/>
    <n v="500"/>
    <n v="500"/>
  </r>
  <r>
    <n v="323"/>
    <d v="2023-01-26T00:00:00"/>
    <x v="322"/>
    <s v="Female"/>
    <n v="29"/>
    <s v="Mid Age"/>
    <x v="0"/>
    <n v="3"/>
    <n v="300"/>
    <n v="900"/>
  </r>
  <r>
    <n v="324"/>
    <d v="2023-10-27T00:00:00"/>
    <x v="323"/>
    <s v="Female"/>
    <n v="52"/>
    <s v="Mid Age"/>
    <x v="2"/>
    <n v="3"/>
    <n v="50"/>
    <n v="150"/>
  </r>
  <r>
    <n v="325"/>
    <d v="2023-09-02T00:00:00"/>
    <x v="324"/>
    <s v="Female"/>
    <n v="52"/>
    <s v="Mid Age"/>
    <x v="2"/>
    <n v="2"/>
    <n v="25"/>
    <n v="50"/>
  </r>
  <r>
    <n v="326"/>
    <d v="2023-09-15T00:00:00"/>
    <x v="325"/>
    <s v="Female"/>
    <n v="18"/>
    <s v="Young Age"/>
    <x v="1"/>
    <n v="3"/>
    <n v="25"/>
    <n v="75"/>
  </r>
  <r>
    <n v="327"/>
    <d v="2023-09-29T00:00:00"/>
    <x v="326"/>
    <s v="Male"/>
    <n v="57"/>
    <s v="Mid Age"/>
    <x v="2"/>
    <n v="3"/>
    <n v="50"/>
    <n v="150"/>
  </r>
  <r>
    <n v="328"/>
    <d v="2023-03-22T00:00:00"/>
    <x v="327"/>
    <s v="Male"/>
    <n v="39"/>
    <s v="Mid Age"/>
    <x v="0"/>
    <n v="2"/>
    <n v="50"/>
    <n v="100"/>
  </r>
  <r>
    <n v="329"/>
    <d v="2023-01-30T00:00:00"/>
    <x v="328"/>
    <s v="Female"/>
    <n v="46"/>
    <s v="Mid Age"/>
    <x v="2"/>
    <n v="4"/>
    <n v="25"/>
    <n v="100"/>
  </r>
  <r>
    <n v="330"/>
    <d v="2023-09-18T00:00:00"/>
    <x v="329"/>
    <s v="Female"/>
    <n v="25"/>
    <s v="Young Age"/>
    <x v="0"/>
    <n v="4"/>
    <n v="50"/>
    <n v="200"/>
  </r>
  <r>
    <n v="331"/>
    <d v="2023-02-11T00:00:00"/>
    <x v="330"/>
    <s v="Male"/>
    <n v="28"/>
    <s v="Mid Age"/>
    <x v="2"/>
    <n v="3"/>
    <n v="30"/>
    <n v="90"/>
  </r>
  <r>
    <n v="332"/>
    <d v="2023-04-06T00:00:00"/>
    <x v="331"/>
    <s v="Male"/>
    <n v="58"/>
    <s v="Mid Age"/>
    <x v="2"/>
    <n v="4"/>
    <n v="300"/>
    <n v="1200"/>
  </r>
  <r>
    <n v="333"/>
    <d v="2023-02-05T00:00:00"/>
    <x v="332"/>
    <s v="Female"/>
    <n v="54"/>
    <s v="Mid Age"/>
    <x v="2"/>
    <n v="4"/>
    <n v="300"/>
    <n v="1200"/>
  </r>
  <r>
    <n v="334"/>
    <d v="2023-11-01T00:00:00"/>
    <x v="333"/>
    <s v="Male"/>
    <n v="31"/>
    <s v="Mid Age"/>
    <x v="2"/>
    <n v="3"/>
    <n v="300"/>
    <n v="900"/>
  </r>
  <r>
    <n v="335"/>
    <d v="2023-02-04T00:00:00"/>
    <x v="334"/>
    <s v="Female"/>
    <n v="47"/>
    <s v="Mid Age"/>
    <x v="0"/>
    <n v="4"/>
    <n v="30"/>
    <n v="120"/>
  </r>
  <r>
    <n v="336"/>
    <d v="2023-12-12T00:00:00"/>
    <x v="335"/>
    <s v="Female"/>
    <n v="52"/>
    <s v="Mid Age"/>
    <x v="0"/>
    <n v="3"/>
    <n v="50"/>
    <n v="150"/>
  </r>
  <r>
    <n v="337"/>
    <d v="2023-05-01T00:00:00"/>
    <x v="336"/>
    <s v="Male"/>
    <n v="38"/>
    <s v="Mid Age"/>
    <x v="1"/>
    <n v="1"/>
    <n v="500"/>
    <n v="500"/>
  </r>
  <r>
    <n v="338"/>
    <d v="2023-07-26T00:00:00"/>
    <x v="337"/>
    <s v="Male"/>
    <n v="54"/>
    <s v="Mid Age"/>
    <x v="0"/>
    <n v="2"/>
    <n v="50"/>
    <n v="100"/>
  </r>
  <r>
    <n v="339"/>
    <d v="2023-03-03T00:00:00"/>
    <x v="338"/>
    <s v="Female"/>
    <n v="22"/>
    <s v="Young Age"/>
    <x v="2"/>
    <n v="2"/>
    <n v="25"/>
    <n v="50"/>
  </r>
  <r>
    <n v="340"/>
    <d v="2023-10-19T00:00:00"/>
    <x v="339"/>
    <s v="Female"/>
    <n v="36"/>
    <s v="Mid Age"/>
    <x v="1"/>
    <n v="4"/>
    <n v="300"/>
    <n v="1200"/>
  </r>
  <r>
    <n v="341"/>
    <d v="2023-05-07T00:00:00"/>
    <x v="340"/>
    <s v="Male"/>
    <n v="31"/>
    <s v="Mid Age"/>
    <x v="1"/>
    <n v="4"/>
    <n v="50"/>
    <n v="200"/>
  </r>
  <r>
    <n v="342"/>
    <d v="2023-10-24T00:00:00"/>
    <x v="341"/>
    <s v="Female"/>
    <n v="43"/>
    <s v="Mid Age"/>
    <x v="1"/>
    <n v="4"/>
    <n v="500"/>
    <n v="2000"/>
  </r>
  <r>
    <n v="343"/>
    <d v="2023-11-01T00:00:00"/>
    <x v="342"/>
    <s v="Male"/>
    <n v="21"/>
    <s v="Young Age"/>
    <x v="2"/>
    <n v="2"/>
    <n v="25"/>
    <n v="50"/>
  </r>
  <r>
    <n v="344"/>
    <d v="2023-01-21T00:00:00"/>
    <x v="343"/>
    <s v="Female"/>
    <n v="42"/>
    <s v="Mid Age"/>
    <x v="0"/>
    <n v="1"/>
    <n v="30"/>
    <n v="30"/>
  </r>
  <r>
    <n v="345"/>
    <d v="2023-11-14T00:00:00"/>
    <x v="344"/>
    <s v="Male"/>
    <n v="62"/>
    <s v="Mid Age"/>
    <x v="2"/>
    <n v="1"/>
    <n v="30"/>
    <n v="30"/>
  </r>
  <r>
    <n v="346"/>
    <d v="2023-02-11T00:00:00"/>
    <x v="345"/>
    <s v="Male"/>
    <n v="59"/>
    <s v="Mid Age"/>
    <x v="1"/>
    <n v="2"/>
    <n v="500"/>
    <n v="1000"/>
  </r>
  <r>
    <n v="347"/>
    <d v="2023-08-03T00:00:00"/>
    <x v="346"/>
    <s v="Male"/>
    <n v="42"/>
    <s v="Mid Age"/>
    <x v="2"/>
    <n v="1"/>
    <n v="25"/>
    <n v="25"/>
  </r>
  <r>
    <n v="348"/>
    <d v="2023-12-03T00:00:00"/>
    <x v="347"/>
    <s v="Female"/>
    <n v="35"/>
    <s v="Mid Age"/>
    <x v="2"/>
    <n v="2"/>
    <n v="300"/>
    <n v="600"/>
  </r>
  <r>
    <n v="349"/>
    <d v="2023-10-26T00:00:00"/>
    <x v="348"/>
    <s v="Female"/>
    <n v="57"/>
    <s v="Mid Age"/>
    <x v="0"/>
    <n v="1"/>
    <n v="50"/>
    <n v="50"/>
  </r>
  <r>
    <n v="350"/>
    <d v="2023-10-17T00:00:00"/>
    <x v="349"/>
    <s v="Male"/>
    <n v="25"/>
    <s v="Young Age"/>
    <x v="0"/>
    <n v="3"/>
    <n v="25"/>
    <n v="75"/>
  </r>
  <r>
    <n v="351"/>
    <d v="2023-09-25T00:00:00"/>
    <x v="350"/>
    <s v="Female"/>
    <n v="56"/>
    <s v="Mid Age"/>
    <x v="1"/>
    <n v="3"/>
    <n v="30"/>
    <n v="90"/>
  </r>
  <r>
    <n v="352"/>
    <d v="2023-06-11T00:00:00"/>
    <x v="351"/>
    <s v="Male"/>
    <n v="57"/>
    <s v="Mid Age"/>
    <x v="2"/>
    <n v="2"/>
    <n v="500"/>
    <n v="1000"/>
  </r>
  <r>
    <n v="353"/>
    <d v="2023-05-14T00:00:00"/>
    <x v="352"/>
    <s v="Male"/>
    <n v="31"/>
    <s v="Mid Age"/>
    <x v="2"/>
    <n v="1"/>
    <n v="500"/>
    <n v="500"/>
  </r>
  <r>
    <n v="354"/>
    <d v="2023-04-15T00:00:00"/>
    <x v="353"/>
    <s v="Female"/>
    <n v="49"/>
    <s v="Mid Age"/>
    <x v="0"/>
    <n v="4"/>
    <n v="50"/>
    <n v="200"/>
  </r>
  <r>
    <n v="355"/>
    <d v="2023-12-09T00:00:00"/>
    <x v="354"/>
    <s v="Female"/>
    <n v="55"/>
    <s v="Mid Age"/>
    <x v="2"/>
    <n v="1"/>
    <n v="500"/>
    <n v="500"/>
  </r>
  <r>
    <n v="356"/>
    <d v="2023-06-10T00:00:00"/>
    <x v="355"/>
    <s v="Male"/>
    <n v="50"/>
    <s v="Mid Age"/>
    <x v="2"/>
    <n v="3"/>
    <n v="500"/>
    <n v="1500"/>
  </r>
  <r>
    <n v="357"/>
    <d v="2023-05-03T00:00:00"/>
    <x v="356"/>
    <s v="Female"/>
    <n v="40"/>
    <s v="Mid Age"/>
    <x v="2"/>
    <n v="3"/>
    <n v="25"/>
    <n v="75"/>
  </r>
  <r>
    <n v="358"/>
    <d v="2023-05-16T00:00:00"/>
    <x v="357"/>
    <s v="Female"/>
    <n v="32"/>
    <s v="Mid Age"/>
    <x v="0"/>
    <n v="1"/>
    <n v="300"/>
    <n v="300"/>
  </r>
  <r>
    <n v="359"/>
    <d v="2023-07-22T00:00:00"/>
    <x v="358"/>
    <s v="Male"/>
    <n v="50"/>
    <s v="Mid Age"/>
    <x v="1"/>
    <n v="1"/>
    <n v="50"/>
    <n v="50"/>
  </r>
  <r>
    <n v="360"/>
    <d v="2023-03-09T00:00:00"/>
    <x v="359"/>
    <s v="Male"/>
    <n v="42"/>
    <s v="Mid Age"/>
    <x v="1"/>
    <n v="4"/>
    <n v="25"/>
    <n v="100"/>
  </r>
  <r>
    <n v="361"/>
    <d v="2023-12-10T00:00:00"/>
    <x v="360"/>
    <s v="Female"/>
    <n v="34"/>
    <s v="Mid Age"/>
    <x v="2"/>
    <n v="4"/>
    <n v="300"/>
    <n v="1200"/>
  </r>
  <r>
    <n v="362"/>
    <d v="2023-11-27T00:00:00"/>
    <x v="361"/>
    <s v="Male"/>
    <n v="50"/>
    <s v="Mid Age"/>
    <x v="1"/>
    <n v="1"/>
    <n v="25"/>
    <n v="25"/>
  </r>
  <r>
    <n v="363"/>
    <d v="2023-06-03T00:00:00"/>
    <x v="362"/>
    <s v="Male"/>
    <n v="64"/>
    <s v="Mid Age"/>
    <x v="0"/>
    <n v="1"/>
    <n v="25"/>
    <n v="25"/>
  </r>
  <r>
    <n v="364"/>
    <d v="2023-08-23T00:00:00"/>
    <x v="363"/>
    <s v="Female"/>
    <n v="19"/>
    <s v="Young Age"/>
    <x v="0"/>
    <n v="1"/>
    <n v="500"/>
    <n v="500"/>
  </r>
  <r>
    <n v="365"/>
    <d v="2023-06-11T00:00:00"/>
    <x v="364"/>
    <s v="Male"/>
    <n v="31"/>
    <s v="Mid Age"/>
    <x v="1"/>
    <n v="1"/>
    <n v="300"/>
    <n v="300"/>
  </r>
  <r>
    <n v="366"/>
    <d v="2023-02-07T00:00:00"/>
    <x v="365"/>
    <s v="Male"/>
    <n v="57"/>
    <s v="Mid Age"/>
    <x v="1"/>
    <n v="2"/>
    <n v="50"/>
    <n v="100"/>
  </r>
  <r>
    <n v="367"/>
    <d v="2023-01-05T00:00:00"/>
    <x v="366"/>
    <s v="Female"/>
    <n v="57"/>
    <s v="Mid Age"/>
    <x v="2"/>
    <n v="1"/>
    <n v="50"/>
    <n v="50"/>
  </r>
  <r>
    <n v="368"/>
    <d v="2023-08-23T00:00:00"/>
    <x v="367"/>
    <s v="Female"/>
    <n v="56"/>
    <s v="Mid Age"/>
    <x v="1"/>
    <n v="4"/>
    <n v="300"/>
    <n v="1200"/>
  </r>
  <r>
    <n v="369"/>
    <d v="2023-11-15T00:00:00"/>
    <x v="368"/>
    <s v="Male"/>
    <n v="23"/>
    <s v="Young Age"/>
    <x v="2"/>
    <n v="3"/>
    <n v="500"/>
    <n v="1500"/>
  </r>
  <r>
    <n v="370"/>
    <d v="2023-10-16T00:00:00"/>
    <x v="369"/>
    <s v="Male"/>
    <n v="23"/>
    <s v="Young Age"/>
    <x v="2"/>
    <n v="2"/>
    <n v="30"/>
    <n v="60"/>
  </r>
  <r>
    <n v="371"/>
    <d v="2023-02-21T00:00:00"/>
    <x v="370"/>
    <s v="Female"/>
    <n v="20"/>
    <s v="Young Age"/>
    <x v="0"/>
    <n v="1"/>
    <n v="25"/>
    <n v="25"/>
  </r>
  <r>
    <n v="372"/>
    <d v="2023-02-07T00:00:00"/>
    <x v="371"/>
    <s v="Female"/>
    <n v="24"/>
    <s v="Young Age"/>
    <x v="0"/>
    <n v="3"/>
    <n v="500"/>
    <n v="1500"/>
  </r>
  <r>
    <n v="373"/>
    <d v="2023-10-03T00:00:00"/>
    <x v="372"/>
    <s v="Female"/>
    <n v="25"/>
    <s v="Young Age"/>
    <x v="0"/>
    <n v="2"/>
    <n v="300"/>
    <n v="600"/>
  </r>
  <r>
    <n v="374"/>
    <d v="2023-04-20T00:00:00"/>
    <x v="373"/>
    <s v="Female"/>
    <n v="59"/>
    <s v="Mid Age"/>
    <x v="0"/>
    <n v="3"/>
    <n v="25"/>
    <n v="75"/>
  </r>
  <r>
    <n v="375"/>
    <d v="2023-09-17T00:00:00"/>
    <x v="374"/>
    <s v="Male"/>
    <n v="32"/>
    <s v="Mid Age"/>
    <x v="1"/>
    <n v="1"/>
    <n v="50"/>
    <n v="50"/>
  </r>
  <r>
    <n v="376"/>
    <d v="2023-05-16T00:00:00"/>
    <x v="375"/>
    <s v="Female"/>
    <n v="64"/>
    <s v="Mid Age"/>
    <x v="0"/>
    <n v="1"/>
    <n v="30"/>
    <n v="30"/>
  </r>
  <r>
    <n v="377"/>
    <d v="2023-03-09T00:00:00"/>
    <x v="376"/>
    <s v="Female"/>
    <n v="46"/>
    <s v="Mid Age"/>
    <x v="1"/>
    <n v="4"/>
    <n v="50"/>
    <n v="200"/>
  </r>
  <r>
    <n v="378"/>
    <d v="2023-06-28T00:00:00"/>
    <x v="377"/>
    <s v="Male"/>
    <n v="50"/>
    <s v="Mid Age"/>
    <x v="0"/>
    <n v="1"/>
    <n v="300"/>
    <n v="300"/>
  </r>
  <r>
    <n v="379"/>
    <d v="2023-02-05T00:00:00"/>
    <x v="378"/>
    <s v="Female"/>
    <n v="47"/>
    <s v="Mid Age"/>
    <x v="1"/>
    <n v="1"/>
    <n v="25"/>
    <n v="25"/>
  </r>
  <r>
    <n v="380"/>
    <d v="2023-05-06T00:00:00"/>
    <x v="379"/>
    <s v="Male"/>
    <n v="56"/>
    <s v="Mid Age"/>
    <x v="2"/>
    <n v="2"/>
    <n v="300"/>
    <n v="600"/>
  </r>
  <r>
    <n v="381"/>
    <d v="2023-07-09T00:00:00"/>
    <x v="380"/>
    <s v="Female"/>
    <n v="44"/>
    <s v="Mid Age"/>
    <x v="1"/>
    <n v="4"/>
    <n v="25"/>
    <n v="100"/>
  </r>
  <r>
    <n v="382"/>
    <d v="2023-05-26T00:00:00"/>
    <x v="381"/>
    <s v="Female"/>
    <n v="53"/>
    <s v="Mid Age"/>
    <x v="1"/>
    <n v="2"/>
    <n v="500"/>
    <n v="1000"/>
  </r>
  <r>
    <n v="383"/>
    <d v="2023-03-22T00:00:00"/>
    <x v="382"/>
    <s v="Female"/>
    <n v="46"/>
    <s v="Mid Age"/>
    <x v="0"/>
    <n v="3"/>
    <n v="30"/>
    <n v="90"/>
  </r>
  <r>
    <n v="384"/>
    <d v="2023-08-13T00:00:00"/>
    <x v="383"/>
    <s v="Male"/>
    <n v="55"/>
    <s v="Mid Age"/>
    <x v="1"/>
    <n v="1"/>
    <n v="500"/>
    <n v="500"/>
  </r>
  <r>
    <n v="385"/>
    <d v="2023-10-06T00:00:00"/>
    <x v="384"/>
    <s v="Male"/>
    <n v="50"/>
    <s v="Mid Age"/>
    <x v="2"/>
    <n v="3"/>
    <n v="500"/>
    <n v="1500"/>
  </r>
  <r>
    <n v="386"/>
    <d v="2023-12-27T00:00:00"/>
    <x v="385"/>
    <s v="Female"/>
    <n v="54"/>
    <s v="Mid Age"/>
    <x v="2"/>
    <n v="2"/>
    <n v="300"/>
    <n v="600"/>
  </r>
  <r>
    <n v="387"/>
    <d v="2023-06-04T00:00:00"/>
    <x v="386"/>
    <s v="Male"/>
    <n v="44"/>
    <s v="Mid Age"/>
    <x v="0"/>
    <n v="1"/>
    <n v="30"/>
    <n v="30"/>
  </r>
  <r>
    <n v="388"/>
    <d v="2023-11-10T00:00:00"/>
    <x v="387"/>
    <s v="Male"/>
    <n v="50"/>
    <s v="Mid Age"/>
    <x v="2"/>
    <n v="1"/>
    <n v="25"/>
    <n v="25"/>
  </r>
  <r>
    <n v="389"/>
    <d v="2023-12-01T00:00:00"/>
    <x v="388"/>
    <s v="Male"/>
    <n v="21"/>
    <s v="Young Age"/>
    <x v="1"/>
    <n v="2"/>
    <n v="25"/>
    <n v="50"/>
  </r>
  <r>
    <n v="390"/>
    <d v="2023-09-28T00:00:00"/>
    <x v="389"/>
    <s v="Male"/>
    <n v="39"/>
    <s v="Mid Age"/>
    <x v="2"/>
    <n v="2"/>
    <n v="50"/>
    <n v="100"/>
  </r>
  <r>
    <n v="391"/>
    <d v="2023-01-05T00:00:00"/>
    <x v="390"/>
    <s v="Male"/>
    <n v="19"/>
    <s v="Young Age"/>
    <x v="0"/>
    <n v="2"/>
    <n v="25"/>
    <n v="50"/>
  </r>
  <r>
    <n v="392"/>
    <d v="2023-12-08T00:00:00"/>
    <x v="391"/>
    <s v="Male"/>
    <n v="27"/>
    <s v="Mid Age"/>
    <x v="1"/>
    <n v="2"/>
    <n v="300"/>
    <n v="600"/>
  </r>
  <r>
    <n v="393"/>
    <d v="2023-10-11T00:00:00"/>
    <x v="392"/>
    <s v="Female"/>
    <n v="22"/>
    <s v="Young Age"/>
    <x v="0"/>
    <n v="2"/>
    <n v="500"/>
    <n v="1000"/>
  </r>
  <r>
    <n v="394"/>
    <d v="2023-06-03T00:00:00"/>
    <x v="393"/>
    <s v="Female"/>
    <n v="27"/>
    <s v="Mid Age"/>
    <x v="1"/>
    <n v="1"/>
    <n v="500"/>
    <n v="500"/>
  </r>
  <r>
    <n v="395"/>
    <d v="2023-12-06T00:00:00"/>
    <x v="394"/>
    <s v="Male"/>
    <n v="50"/>
    <s v="Mid Age"/>
    <x v="2"/>
    <n v="2"/>
    <n v="500"/>
    <n v="1000"/>
  </r>
  <r>
    <n v="396"/>
    <d v="2023-02-23T00:00:00"/>
    <x v="395"/>
    <s v="Female"/>
    <n v="55"/>
    <s v="Mid Age"/>
    <x v="0"/>
    <n v="1"/>
    <n v="30"/>
    <n v="30"/>
  </r>
  <r>
    <n v="397"/>
    <d v="2023-03-10T00:00:00"/>
    <x v="396"/>
    <s v="Female"/>
    <n v="30"/>
    <s v="Mid Age"/>
    <x v="0"/>
    <n v="1"/>
    <n v="25"/>
    <n v="25"/>
  </r>
  <r>
    <n v="398"/>
    <d v="2023-05-16T00:00:00"/>
    <x v="397"/>
    <s v="Female"/>
    <n v="48"/>
    <s v="Mid Age"/>
    <x v="1"/>
    <n v="2"/>
    <n v="300"/>
    <n v="600"/>
  </r>
  <r>
    <n v="399"/>
    <d v="2023-03-01T00:00:00"/>
    <x v="398"/>
    <s v="Female"/>
    <n v="64"/>
    <s v="Mid Age"/>
    <x v="0"/>
    <n v="2"/>
    <n v="30"/>
    <n v="60"/>
  </r>
  <r>
    <n v="400"/>
    <d v="2023-02-24T00:00:00"/>
    <x v="399"/>
    <s v="Male"/>
    <n v="53"/>
    <s v="Mid Age"/>
    <x v="1"/>
    <n v="4"/>
    <n v="50"/>
    <n v="200"/>
  </r>
  <r>
    <n v="401"/>
    <d v="2023-10-11T00:00:00"/>
    <x v="400"/>
    <s v="Female"/>
    <n v="62"/>
    <s v="Mid Age"/>
    <x v="1"/>
    <n v="1"/>
    <n v="300"/>
    <n v="300"/>
  </r>
  <r>
    <n v="402"/>
    <d v="2023-03-21T00:00:00"/>
    <x v="401"/>
    <s v="Female"/>
    <n v="41"/>
    <s v="Mid Age"/>
    <x v="1"/>
    <n v="2"/>
    <n v="300"/>
    <n v="600"/>
  </r>
  <r>
    <n v="403"/>
    <d v="2023-05-20T00:00:00"/>
    <x v="402"/>
    <s v="Male"/>
    <n v="32"/>
    <s v="Mid Age"/>
    <x v="1"/>
    <n v="2"/>
    <n v="300"/>
    <n v="600"/>
  </r>
  <r>
    <n v="404"/>
    <d v="2023-05-25T00:00:00"/>
    <x v="403"/>
    <s v="Male"/>
    <n v="46"/>
    <s v="Mid Age"/>
    <x v="2"/>
    <n v="2"/>
    <n v="500"/>
    <n v="1000"/>
  </r>
  <r>
    <n v="405"/>
    <d v="2023-11-06T00:00:00"/>
    <x v="404"/>
    <s v="Female"/>
    <n v="25"/>
    <s v="Young Age"/>
    <x v="1"/>
    <n v="4"/>
    <n v="300"/>
    <n v="1200"/>
  </r>
  <r>
    <n v="406"/>
    <d v="2023-04-18T00:00:00"/>
    <x v="405"/>
    <s v="Female"/>
    <n v="22"/>
    <s v="Young Age"/>
    <x v="0"/>
    <n v="4"/>
    <n v="25"/>
    <n v="100"/>
  </r>
  <r>
    <n v="407"/>
    <d v="2023-06-25T00:00:00"/>
    <x v="406"/>
    <s v="Female"/>
    <n v="46"/>
    <s v="Mid Age"/>
    <x v="2"/>
    <n v="3"/>
    <n v="300"/>
    <n v="900"/>
  </r>
  <r>
    <n v="408"/>
    <d v="2023-04-15T00:00:00"/>
    <x v="407"/>
    <s v="Female"/>
    <n v="64"/>
    <s v="Mid Age"/>
    <x v="0"/>
    <n v="1"/>
    <n v="500"/>
    <n v="500"/>
  </r>
  <r>
    <n v="409"/>
    <d v="2023-12-18T00:00:00"/>
    <x v="408"/>
    <s v="Female"/>
    <n v="21"/>
    <s v="Young Age"/>
    <x v="2"/>
    <n v="3"/>
    <n v="300"/>
    <n v="900"/>
  </r>
  <r>
    <n v="410"/>
    <d v="2023-11-21T00:00:00"/>
    <x v="409"/>
    <s v="Female"/>
    <n v="29"/>
    <s v="Mid Age"/>
    <x v="1"/>
    <n v="2"/>
    <n v="50"/>
    <n v="100"/>
  </r>
  <r>
    <n v="411"/>
    <d v="2023-05-16T00:00:00"/>
    <x v="410"/>
    <s v="Male"/>
    <n v="62"/>
    <s v="Mid Age"/>
    <x v="2"/>
    <n v="4"/>
    <n v="50"/>
    <n v="200"/>
  </r>
  <r>
    <n v="412"/>
    <d v="2023-09-16T00:00:00"/>
    <x v="411"/>
    <s v="Female"/>
    <n v="19"/>
    <s v="Young Age"/>
    <x v="2"/>
    <n v="4"/>
    <n v="500"/>
    <n v="2000"/>
  </r>
  <r>
    <n v="413"/>
    <d v="2023-09-08T00:00:00"/>
    <x v="412"/>
    <s v="Female"/>
    <n v="44"/>
    <s v="Mid Age"/>
    <x v="0"/>
    <n v="3"/>
    <n v="25"/>
    <n v="75"/>
  </r>
  <r>
    <n v="414"/>
    <d v="2023-05-09T00:00:00"/>
    <x v="413"/>
    <s v="Male"/>
    <n v="48"/>
    <s v="Mid Age"/>
    <x v="0"/>
    <n v="4"/>
    <n v="25"/>
    <n v="100"/>
  </r>
  <r>
    <n v="415"/>
    <d v="2023-01-27T00:00:00"/>
    <x v="414"/>
    <s v="Male"/>
    <n v="53"/>
    <s v="Mid Age"/>
    <x v="1"/>
    <n v="2"/>
    <n v="30"/>
    <n v="60"/>
  </r>
  <r>
    <n v="416"/>
    <d v="2023-02-17T00:00:00"/>
    <x v="415"/>
    <s v="Male"/>
    <n v="53"/>
    <s v="Mid Age"/>
    <x v="2"/>
    <n v="4"/>
    <n v="500"/>
    <n v="2000"/>
  </r>
  <r>
    <n v="417"/>
    <d v="2023-11-21T00:00:00"/>
    <x v="416"/>
    <s v="Male"/>
    <n v="43"/>
    <s v="Mid Age"/>
    <x v="2"/>
    <n v="3"/>
    <n v="300"/>
    <n v="900"/>
  </r>
  <r>
    <n v="418"/>
    <d v="2023-08-05T00:00:00"/>
    <x v="417"/>
    <s v="Female"/>
    <n v="60"/>
    <s v="Mid Age"/>
    <x v="2"/>
    <n v="2"/>
    <n v="500"/>
    <n v="1000"/>
  </r>
  <r>
    <n v="419"/>
    <d v="2023-05-22T00:00:00"/>
    <x v="418"/>
    <s v="Female"/>
    <n v="44"/>
    <s v="Mid Age"/>
    <x v="1"/>
    <n v="3"/>
    <n v="30"/>
    <n v="90"/>
  </r>
  <r>
    <n v="420"/>
    <d v="2023-01-23T00:00:00"/>
    <x v="419"/>
    <s v="Female"/>
    <n v="22"/>
    <s v="Young Age"/>
    <x v="1"/>
    <n v="4"/>
    <n v="500"/>
    <n v="2000"/>
  </r>
  <r>
    <n v="421"/>
    <d v="2023-01-02T00:00:00"/>
    <x v="420"/>
    <s v="Female"/>
    <n v="37"/>
    <s v="Mid Age"/>
    <x v="1"/>
    <n v="3"/>
    <n v="500"/>
    <n v="1500"/>
  </r>
  <r>
    <n v="422"/>
    <d v="2023-06-20T00:00:00"/>
    <x v="421"/>
    <s v="Female"/>
    <n v="28"/>
    <s v="Mid Age"/>
    <x v="1"/>
    <n v="3"/>
    <n v="30"/>
    <n v="90"/>
  </r>
  <r>
    <n v="423"/>
    <d v="2023-03-08T00:00:00"/>
    <x v="422"/>
    <s v="Female"/>
    <n v="27"/>
    <s v="Mid Age"/>
    <x v="1"/>
    <n v="1"/>
    <n v="25"/>
    <n v="25"/>
  </r>
  <r>
    <n v="424"/>
    <d v="2023-11-23T00:00:00"/>
    <x v="423"/>
    <s v="Male"/>
    <n v="57"/>
    <s v="Mid Age"/>
    <x v="0"/>
    <n v="4"/>
    <n v="300"/>
    <n v="1200"/>
  </r>
  <r>
    <n v="425"/>
    <d v="2023-05-15T00:00:00"/>
    <x v="424"/>
    <s v="Female"/>
    <n v="55"/>
    <s v="Mid Age"/>
    <x v="2"/>
    <n v="4"/>
    <n v="30"/>
    <n v="120"/>
  </r>
  <r>
    <n v="426"/>
    <d v="2023-03-24T00:00:00"/>
    <x v="425"/>
    <s v="Male"/>
    <n v="23"/>
    <s v="Young Age"/>
    <x v="2"/>
    <n v="3"/>
    <n v="50"/>
    <n v="150"/>
  </r>
  <r>
    <n v="427"/>
    <d v="2023-08-15T00:00:00"/>
    <x v="426"/>
    <s v="Male"/>
    <n v="25"/>
    <s v="Young Age"/>
    <x v="2"/>
    <n v="1"/>
    <n v="25"/>
    <n v="25"/>
  </r>
  <r>
    <n v="428"/>
    <d v="2023-10-10T00:00:00"/>
    <x v="427"/>
    <s v="Female"/>
    <n v="40"/>
    <s v="Mid Age"/>
    <x v="2"/>
    <n v="4"/>
    <n v="50"/>
    <n v="200"/>
  </r>
  <r>
    <n v="429"/>
    <d v="2023-12-28T00:00:00"/>
    <x v="428"/>
    <s v="Male"/>
    <n v="64"/>
    <s v="Mid Age"/>
    <x v="2"/>
    <n v="2"/>
    <n v="25"/>
    <n v="50"/>
  </r>
  <r>
    <n v="430"/>
    <d v="2023-08-07T00:00:00"/>
    <x v="429"/>
    <s v="Female"/>
    <n v="43"/>
    <s v="Mid Age"/>
    <x v="2"/>
    <n v="3"/>
    <n v="300"/>
    <n v="900"/>
  </r>
  <r>
    <n v="431"/>
    <d v="2023-10-15T00:00:00"/>
    <x v="430"/>
    <s v="Male"/>
    <n v="63"/>
    <s v="Mid Age"/>
    <x v="2"/>
    <n v="4"/>
    <n v="300"/>
    <n v="1200"/>
  </r>
  <r>
    <n v="432"/>
    <d v="2023-01-05T00:00:00"/>
    <x v="431"/>
    <s v="Female"/>
    <n v="60"/>
    <s v="Mid Age"/>
    <x v="2"/>
    <n v="2"/>
    <n v="500"/>
    <n v="1000"/>
  </r>
  <r>
    <n v="433"/>
    <d v="2023-02-27T00:00:00"/>
    <x v="432"/>
    <s v="Male"/>
    <n v="29"/>
    <s v="Mid Age"/>
    <x v="0"/>
    <n v="4"/>
    <n v="50"/>
    <n v="200"/>
  </r>
  <r>
    <n v="434"/>
    <d v="2023-02-08T00:00:00"/>
    <x v="433"/>
    <s v="Female"/>
    <n v="43"/>
    <s v="Mid Age"/>
    <x v="2"/>
    <n v="2"/>
    <n v="25"/>
    <n v="50"/>
  </r>
  <r>
    <n v="435"/>
    <d v="2023-12-20T00:00:00"/>
    <x v="434"/>
    <s v="Female"/>
    <n v="30"/>
    <s v="Mid Age"/>
    <x v="0"/>
    <n v="3"/>
    <n v="300"/>
    <n v="900"/>
  </r>
  <r>
    <n v="436"/>
    <d v="2023-03-18T00:00:00"/>
    <x v="435"/>
    <s v="Female"/>
    <n v="57"/>
    <s v="Mid Age"/>
    <x v="1"/>
    <n v="4"/>
    <n v="30"/>
    <n v="120"/>
  </r>
  <r>
    <n v="437"/>
    <d v="2023-10-07T00:00:00"/>
    <x v="436"/>
    <s v="Female"/>
    <n v="35"/>
    <s v="Mid Age"/>
    <x v="2"/>
    <n v="4"/>
    <n v="300"/>
    <n v="1200"/>
  </r>
  <r>
    <n v="438"/>
    <d v="2023-01-19T00:00:00"/>
    <x v="437"/>
    <s v="Female"/>
    <n v="42"/>
    <s v="Mid Age"/>
    <x v="1"/>
    <n v="1"/>
    <n v="30"/>
    <n v="30"/>
  </r>
  <r>
    <n v="439"/>
    <d v="2023-07-09T00:00:00"/>
    <x v="438"/>
    <s v="Male"/>
    <n v="50"/>
    <s v="Mid Age"/>
    <x v="1"/>
    <n v="3"/>
    <n v="25"/>
    <n v="75"/>
  </r>
  <r>
    <n v="440"/>
    <d v="2023-10-26T00:00:00"/>
    <x v="439"/>
    <s v="Male"/>
    <n v="64"/>
    <s v="Mid Age"/>
    <x v="1"/>
    <n v="2"/>
    <n v="300"/>
    <n v="600"/>
  </r>
  <r>
    <n v="441"/>
    <d v="2023-10-10T00:00:00"/>
    <x v="440"/>
    <s v="Male"/>
    <n v="57"/>
    <s v="Mid Age"/>
    <x v="0"/>
    <n v="4"/>
    <n v="300"/>
    <n v="1200"/>
  </r>
  <r>
    <n v="442"/>
    <d v="2023-03-17T00:00:00"/>
    <x v="441"/>
    <s v="Female"/>
    <n v="60"/>
    <s v="Mid Age"/>
    <x v="1"/>
    <n v="4"/>
    <n v="25"/>
    <n v="100"/>
  </r>
  <r>
    <n v="443"/>
    <d v="2023-08-09T00:00:00"/>
    <x v="442"/>
    <s v="Male"/>
    <n v="29"/>
    <s v="Mid Age"/>
    <x v="1"/>
    <n v="2"/>
    <n v="300"/>
    <n v="600"/>
  </r>
  <r>
    <n v="444"/>
    <d v="2023-03-07T00:00:00"/>
    <x v="443"/>
    <s v="Female"/>
    <n v="61"/>
    <s v="Mid Age"/>
    <x v="1"/>
    <n v="3"/>
    <n v="30"/>
    <n v="90"/>
  </r>
  <r>
    <n v="445"/>
    <d v="2023-01-22T00:00:00"/>
    <x v="444"/>
    <s v="Female"/>
    <n v="53"/>
    <s v="Mid Age"/>
    <x v="2"/>
    <n v="1"/>
    <n v="300"/>
    <n v="300"/>
  </r>
  <r>
    <n v="446"/>
    <d v="2023-06-07T00:00:00"/>
    <x v="445"/>
    <s v="Male"/>
    <n v="21"/>
    <s v="Young Age"/>
    <x v="2"/>
    <n v="1"/>
    <n v="50"/>
    <n v="50"/>
  </r>
  <r>
    <n v="447"/>
    <d v="2023-07-06T00:00:00"/>
    <x v="446"/>
    <s v="Male"/>
    <n v="22"/>
    <s v="Young Age"/>
    <x v="0"/>
    <n v="4"/>
    <n v="500"/>
    <n v="2000"/>
  </r>
  <r>
    <n v="448"/>
    <d v="2023-01-21T00:00:00"/>
    <x v="447"/>
    <s v="Female"/>
    <n v="54"/>
    <s v="Mid Age"/>
    <x v="0"/>
    <n v="2"/>
    <n v="30"/>
    <n v="60"/>
  </r>
  <r>
    <n v="449"/>
    <d v="2023-07-03T00:00:00"/>
    <x v="448"/>
    <s v="Male"/>
    <n v="25"/>
    <s v="Young Age"/>
    <x v="2"/>
    <n v="4"/>
    <n v="50"/>
    <n v="200"/>
  </r>
  <r>
    <n v="450"/>
    <d v="2023-04-18T00:00:00"/>
    <x v="449"/>
    <s v="Female"/>
    <n v="59"/>
    <s v="Mid Age"/>
    <x v="0"/>
    <n v="2"/>
    <n v="25"/>
    <n v="50"/>
  </r>
  <r>
    <n v="451"/>
    <d v="2023-12-16T00:00:00"/>
    <x v="450"/>
    <s v="Female"/>
    <n v="45"/>
    <s v="Mid Age"/>
    <x v="2"/>
    <n v="1"/>
    <n v="30"/>
    <n v="30"/>
  </r>
  <r>
    <n v="452"/>
    <d v="2023-05-08T00:00:00"/>
    <x v="451"/>
    <s v="Female"/>
    <n v="48"/>
    <s v="Mid Age"/>
    <x v="1"/>
    <n v="3"/>
    <n v="500"/>
    <n v="1500"/>
  </r>
  <r>
    <n v="453"/>
    <d v="2023-12-08T00:00:00"/>
    <x v="452"/>
    <s v="Female"/>
    <n v="26"/>
    <s v="Mid Age"/>
    <x v="1"/>
    <n v="2"/>
    <n v="500"/>
    <n v="1000"/>
  </r>
  <r>
    <n v="454"/>
    <d v="2023-02-22T00:00:00"/>
    <x v="453"/>
    <s v="Female"/>
    <n v="46"/>
    <s v="Mid Age"/>
    <x v="0"/>
    <n v="1"/>
    <n v="25"/>
    <n v="25"/>
  </r>
  <r>
    <n v="455"/>
    <d v="2023-07-01T00:00:00"/>
    <x v="454"/>
    <s v="Male"/>
    <n v="31"/>
    <s v="Mid Age"/>
    <x v="2"/>
    <n v="4"/>
    <n v="25"/>
    <n v="100"/>
  </r>
  <r>
    <n v="456"/>
    <d v="2023-10-14T00:00:00"/>
    <x v="455"/>
    <s v="Male"/>
    <n v="57"/>
    <s v="Mid Age"/>
    <x v="2"/>
    <n v="2"/>
    <n v="30"/>
    <n v="60"/>
  </r>
  <r>
    <n v="457"/>
    <d v="2023-07-28T00:00:00"/>
    <x v="456"/>
    <s v="Female"/>
    <n v="58"/>
    <s v="Mid Age"/>
    <x v="0"/>
    <n v="3"/>
    <n v="300"/>
    <n v="900"/>
  </r>
  <r>
    <n v="458"/>
    <d v="2023-11-14T00:00:00"/>
    <x v="457"/>
    <s v="Female"/>
    <n v="39"/>
    <s v="Mid Age"/>
    <x v="2"/>
    <n v="4"/>
    <n v="25"/>
    <n v="100"/>
  </r>
  <r>
    <n v="459"/>
    <d v="2023-03-21T00:00:00"/>
    <x v="458"/>
    <s v="Male"/>
    <n v="28"/>
    <s v="Mid Age"/>
    <x v="1"/>
    <n v="4"/>
    <n v="300"/>
    <n v="1200"/>
  </r>
  <r>
    <n v="460"/>
    <d v="2023-05-02T00:00:00"/>
    <x v="459"/>
    <s v="Male"/>
    <n v="40"/>
    <s v="Mid Age"/>
    <x v="0"/>
    <n v="1"/>
    <n v="50"/>
    <n v="50"/>
  </r>
  <r>
    <n v="461"/>
    <d v="2023-03-25T00:00:00"/>
    <x v="460"/>
    <s v="Female"/>
    <n v="18"/>
    <s v="Young Age"/>
    <x v="0"/>
    <n v="2"/>
    <n v="500"/>
    <n v="1000"/>
  </r>
  <r>
    <n v="462"/>
    <d v="2023-04-01T00:00:00"/>
    <x v="461"/>
    <s v="Male"/>
    <n v="63"/>
    <s v="Mid Age"/>
    <x v="2"/>
    <n v="4"/>
    <n v="300"/>
    <n v="1200"/>
  </r>
  <r>
    <n v="463"/>
    <d v="2023-07-31T00:00:00"/>
    <x v="462"/>
    <s v="Female"/>
    <n v="54"/>
    <s v="Mid Age"/>
    <x v="0"/>
    <n v="3"/>
    <n v="500"/>
    <n v="1500"/>
  </r>
  <r>
    <n v="464"/>
    <d v="2023-01-13T00:00:00"/>
    <x v="463"/>
    <s v="Male"/>
    <n v="38"/>
    <s v="Mid Age"/>
    <x v="2"/>
    <n v="2"/>
    <n v="300"/>
    <n v="600"/>
  </r>
  <r>
    <n v="465"/>
    <d v="2023-04-02T00:00:00"/>
    <x v="464"/>
    <s v="Female"/>
    <n v="43"/>
    <s v="Mid Age"/>
    <x v="2"/>
    <n v="3"/>
    <n v="50"/>
    <n v="150"/>
  </r>
  <r>
    <n v="466"/>
    <d v="2023-06-20T00:00:00"/>
    <x v="465"/>
    <s v="Male"/>
    <n v="63"/>
    <s v="Mid Age"/>
    <x v="2"/>
    <n v="4"/>
    <n v="25"/>
    <n v="100"/>
  </r>
  <r>
    <n v="467"/>
    <d v="2023-07-30T00:00:00"/>
    <x v="466"/>
    <s v="Female"/>
    <n v="53"/>
    <s v="Mid Age"/>
    <x v="2"/>
    <n v="3"/>
    <n v="50"/>
    <n v="150"/>
  </r>
  <r>
    <n v="468"/>
    <d v="2023-12-09T00:00:00"/>
    <x v="467"/>
    <s v="Male"/>
    <n v="40"/>
    <s v="Mid Age"/>
    <x v="2"/>
    <n v="1"/>
    <n v="25"/>
    <n v="25"/>
  </r>
  <r>
    <n v="469"/>
    <d v="2023-05-08T00:00:00"/>
    <x v="468"/>
    <s v="Male"/>
    <n v="18"/>
    <s v="Young Age"/>
    <x v="0"/>
    <n v="3"/>
    <n v="25"/>
    <n v="75"/>
  </r>
  <r>
    <n v="470"/>
    <d v="2023-05-17T00:00:00"/>
    <x v="469"/>
    <s v="Female"/>
    <n v="57"/>
    <s v="Mid Age"/>
    <x v="1"/>
    <n v="2"/>
    <n v="500"/>
    <n v="1000"/>
  </r>
  <r>
    <n v="471"/>
    <d v="2023-03-23T00:00:00"/>
    <x v="470"/>
    <s v="Male"/>
    <n v="32"/>
    <s v="Mid Age"/>
    <x v="1"/>
    <n v="3"/>
    <n v="50"/>
    <n v="150"/>
  </r>
  <r>
    <n v="472"/>
    <d v="2023-12-26T00:00:00"/>
    <x v="471"/>
    <s v="Female"/>
    <n v="38"/>
    <s v="Mid Age"/>
    <x v="0"/>
    <n v="3"/>
    <n v="300"/>
    <n v="900"/>
  </r>
  <r>
    <n v="473"/>
    <d v="2023-02-25T00:00:00"/>
    <x v="472"/>
    <s v="Male"/>
    <n v="64"/>
    <s v="Mid Age"/>
    <x v="0"/>
    <n v="1"/>
    <n v="50"/>
    <n v="50"/>
  </r>
  <r>
    <n v="474"/>
    <d v="2023-07-15T00:00:00"/>
    <x v="473"/>
    <s v="Female"/>
    <n v="26"/>
    <s v="Mid Age"/>
    <x v="1"/>
    <n v="3"/>
    <n v="500"/>
    <n v="1500"/>
  </r>
  <r>
    <n v="475"/>
    <d v="2023-01-20T00:00:00"/>
    <x v="474"/>
    <s v="Male"/>
    <n v="26"/>
    <s v="Mid Age"/>
    <x v="1"/>
    <n v="3"/>
    <n v="25"/>
    <n v="75"/>
  </r>
  <r>
    <n v="476"/>
    <d v="2023-08-29T00:00:00"/>
    <x v="475"/>
    <s v="Female"/>
    <n v="27"/>
    <s v="Mid Age"/>
    <x v="1"/>
    <n v="4"/>
    <n v="500"/>
    <n v="2000"/>
  </r>
  <r>
    <n v="477"/>
    <d v="2023-04-24T00:00:00"/>
    <x v="476"/>
    <s v="Male"/>
    <n v="43"/>
    <s v="Mid Age"/>
    <x v="1"/>
    <n v="4"/>
    <n v="30"/>
    <n v="120"/>
  </r>
  <r>
    <n v="478"/>
    <d v="2023-04-13T00:00:00"/>
    <x v="477"/>
    <s v="Female"/>
    <n v="58"/>
    <s v="Mid Age"/>
    <x v="1"/>
    <n v="2"/>
    <n v="30"/>
    <n v="60"/>
  </r>
  <r>
    <n v="479"/>
    <d v="2023-08-24T00:00:00"/>
    <x v="478"/>
    <s v="Male"/>
    <n v="52"/>
    <s v="Mid Age"/>
    <x v="2"/>
    <n v="4"/>
    <n v="300"/>
    <n v="1200"/>
  </r>
  <r>
    <n v="480"/>
    <d v="2023-06-29T00:00:00"/>
    <x v="479"/>
    <s v="Female"/>
    <n v="42"/>
    <s v="Mid Age"/>
    <x v="0"/>
    <n v="4"/>
    <n v="500"/>
    <n v="2000"/>
  </r>
  <r>
    <n v="481"/>
    <d v="2023-06-06T00:00:00"/>
    <x v="480"/>
    <s v="Female"/>
    <n v="43"/>
    <s v="Mid Age"/>
    <x v="2"/>
    <n v="4"/>
    <n v="300"/>
    <n v="1200"/>
  </r>
  <r>
    <n v="482"/>
    <d v="2023-04-27T00:00:00"/>
    <x v="481"/>
    <s v="Female"/>
    <n v="28"/>
    <s v="Mid Age"/>
    <x v="1"/>
    <n v="4"/>
    <n v="300"/>
    <n v="1200"/>
  </r>
  <r>
    <n v="483"/>
    <d v="2023-04-25T00:00:00"/>
    <x v="482"/>
    <s v="Male"/>
    <n v="55"/>
    <s v="Mid Age"/>
    <x v="1"/>
    <n v="1"/>
    <n v="30"/>
    <n v="30"/>
  </r>
  <r>
    <n v="484"/>
    <d v="2023-01-13T00:00:00"/>
    <x v="483"/>
    <s v="Female"/>
    <n v="19"/>
    <s v="Young Age"/>
    <x v="1"/>
    <n v="4"/>
    <n v="300"/>
    <n v="1200"/>
  </r>
  <r>
    <n v="485"/>
    <d v="2023-12-04T00:00:00"/>
    <x v="484"/>
    <s v="Male"/>
    <n v="24"/>
    <s v="Young Age"/>
    <x v="2"/>
    <n v="1"/>
    <n v="30"/>
    <n v="30"/>
  </r>
  <r>
    <n v="486"/>
    <d v="2023-04-09T00:00:00"/>
    <x v="485"/>
    <s v="Female"/>
    <n v="35"/>
    <s v="Mid Age"/>
    <x v="2"/>
    <n v="1"/>
    <n v="25"/>
    <n v="25"/>
  </r>
  <r>
    <n v="487"/>
    <d v="2023-07-24T00:00:00"/>
    <x v="486"/>
    <s v="Male"/>
    <n v="44"/>
    <s v="Mid Age"/>
    <x v="1"/>
    <n v="4"/>
    <n v="500"/>
    <n v="2000"/>
  </r>
  <r>
    <n v="488"/>
    <d v="2023-06-18T00:00:00"/>
    <x v="487"/>
    <s v="Female"/>
    <n v="51"/>
    <s v="Mid Age"/>
    <x v="2"/>
    <n v="3"/>
    <n v="300"/>
    <n v="900"/>
  </r>
  <r>
    <n v="489"/>
    <d v="2023-05-23T00:00:00"/>
    <x v="488"/>
    <s v="Male"/>
    <n v="44"/>
    <s v="Mid Age"/>
    <x v="2"/>
    <n v="1"/>
    <n v="30"/>
    <n v="30"/>
  </r>
  <r>
    <n v="490"/>
    <d v="2023-02-05T00:00:00"/>
    <x v="489"/>
    <s v="Male"/>
    <n v="34"/>
    <s v="Mid Age"/>
    <x v="1"/>
    <n v="3"/>
    <n v="50"/>
    <n v="150"/>
  </r>
  <r>
    <n v="491"/>
    <d v="2023-05-23T00:00:00"/>
    <x v="490"/>
    <s v="Female"/>
    <n v="60"/>
    <s v="Mid Age"/>
    <x v="2"/>
    <n v="3"/>
    <n v="300"/>
    <n v="900"/>
  </r>
  <r>
    <n v="492"/>
    <d v="2023-06-29T00:00:00"/>
    <x v="491"/>
    <s v="Male"/>
    <n v="61"/>
    <s v="Mid Age"/>
    <x v="0"/>
    <n v="4"/>
    <n v="25"/>
    <n v="100"/>
  </r>
  <r>
    <n v="493"/>
    <d v="2023-11-25T00:00:00"/>
    <x v="492"/>
    <s v="Male"/>
    <n v="41"/>
    <s v="Mid Age"/>
    <x v="0"/>
    <n v="2"/>
    <n v="25"/>
    <n v="50"/>
  </r>
  <r>
    <n v="494"/>
    <d v="2023-09-18T00:00:00"/>
    <x v="493"/>
    <s v="Female"/>
    <n v="42"/>
    <s v="Mid Age"/>
    <x v="0"/>
    <n v="4"/>
    <n v="50"/>
    <n v="200"/>
  </r>
  <r>
    <n v="495"/>
    <d v="2023-07-24T00:00:00"/>
    <x v="494"/>
    <s v="Male"/>
    <n v="24"/>
    <s v="Young Age"/>
    <x v="0"/>
    <n v="2"/>
    <n v="30"/>
    <n v="60"/>
  </r>
  <r>
    <n v="496"/>
    <d v="2023-12-14T00:00:00"/>
    <x v="495"/>
    <s v="Male"/>
    <n v="23"/>
    <s v="Young Age"/>
    <x v="1"/>
    <n v="2"/>
    <n v="300"/>
    <n v="600"/>
  </r>
  <r>
    <n v="497"/>
    <d v="2023-10-02T00:00:00"/>
    <x v="496"/>
    <s v="Male"/>
    <n v="41"/>
    <s v="Mid Age"/>
    <x v="1"/>
    <n v="4"/>
    <n v="30"/>
    <n v="120"/>
  </r>
  <r>
    <n v="498"/>
    <d v="2023-06-19T00:00:00"/>
    <x v="497"/>
    <s v="Female"/>
    <n v="50"/>
    <s v="Mid Age"/>
    <x v="1"/>
    <n v="4"/>
    <n v="25"/>
    <n v="100"/>
  </r>
  <r>
    <n v="499"/>
    <d v="2023-01-15T00:00:00"/>
    <x v="498"/>
    <s v="Male"/>
    <n v="46"/>
    <s v="Mid Age"/>
    <x v="0"/>
    <n v="2"/>
    <n v="30"/>
    <n v="60"/>
  </r>
  <r>
    <n v="500"/>
    <d v="2023-03-01T00:00:00"/>
    <x v="499"/>
    <s v="Female"/>
    <n v="60"/>
    <s v="Mid Age"/>
    <x v="0"/>
    <n v="4"/>
    <n v="25"/>
    <n v="100"/>
  </r>
  <r>
    <n v="501"/>
    <d v="2023-05-14T00:00:00"/>
    <x v="500"/>
    <s v="Male"/>
    <n v="39"/>
    <s v="Mid Age"/>
    <x v="2"/>
    <n v="2"/>
    <n v="30"/>
    <n v="60"/>
  </r>
  <r>
    <n v="502"/>
    <d v="2023-04-02T00:00:00"/>
    <x v="501"/>
    <s v="Male"/>
    <n v="43"/>
    <s v="Mid Age"/>
    <x v="2"/>
    <n v="3"/>
    <n v="50"/>
    <n v="150"/>
  </r>
  <r>
    <n v="503"/>
    <d v="2023-10-25T00:00:00"/>
    <x v="502"/>
    <s v="Male"/>
    <n v="45"/>
    <s v="Mid Age"/>
    <x v="0"/>
    <n v="4"/>
    <n v="500"/>
    <n v="2000"/>
  </r>
  <r>
    <n v="504"/>
    <d v="2023-05-16T00:00:00"/>
    <x v="503"/>
    <s v="Female"/>
    <n v="38"/>
    <s v="Mid Age"/>
    <x v="0"/>
    <n v="3"/>
    <n v="50"/>
    <n v="150"/>
  </r>
  <r>
    <n v="505"/>
    <d v="2023-01-20T00:00:00"/>
    <x v="504"/>
    <s v="Male"/>
    <n v="24"/>
    <s v="Young Age"/>
    <x v="0"/>
    <n v="1"/>
    <n v="50"/>
    <n v="50"/>
  </r>
  <r>
    <n v="506"/>
    <d v="2023-02-25T00:00:00"/>
    <x v="505"/>
    <s v="Male"/>
    <n v="34"/>
    <s v="Mid Age"/>
    <x v="0"/>
    <n v="3"/>
    <n v="500"/>
    <n v="1500"/>
  </r>
  <r>
    <n v="507"/>
    <d v="2023-11-02T00:00:00"/>
    <x v="506"/>
    <s v="Female"/>
    <n v="37"/>
    <s v="Mid Age"/>
    <x v="2"/>
    <n v="3"/>
    <n v="500"/>
    <n v="1500"/>
  </r>
  <r>
    <n v="508"/>
    <d v="2023-08-11T00:00:00"/>
    <x v="507"/>
    <s v="Male"/>
    <n v="58"/>
    <s v="Mid Age"/>
    <x v="0"/>
    <n v="2"/>
    <n v="300"/>
    <n v="600"/>
  </r>
  <r>
    <n v="509"/>
    <d v="2023-06-26T00:00:00"/>
    <x v="508"/>
    <s v="Female"/>
    <n v="37"/>
    <s v="Mid Age"/>
    <x v="2"/>
    <n v="3"/>
    <n v="300"/>
    <n v="900"/>
  </r>
  <r>
    <n v="510"/>
    <d v="2023-06-10T00:00:00"/>
    <x v="509"/>
    <s v="Female"/>
    <n v="39"/>
    <s v="Mid Age"/>
    <x v="0"/>
    <n v="4"/>
    <n v="50"/>
    <n v="200"/>
  </r>
  <r>
    <n v="511"/>
    <d v="2023-08-12T00:00:00"/>
    <x v="510"/>
    <s v="Male"/>
    <n v="45"/>
    <s v="Mid Age"/>
    <x v="0"/>
    <n v="2"/>
    <n v="50"/>
    <n v="100"/>
  </r>
  <r>
    <n v="512"/>
    <d v="2023-11-07T00:00:00"/>
    <x v="511"/>
    <s v="Female"/>
    <n v="57"/>
    <s v="Mid Age"/>
    <x v="0"/>
    <n v="1"/>
    <n v="25"/>
    <n v="25"/>
  </r>
  <r>
    <n v="513"/>
    <d v="2023-09-19T00:00:00"/>
    <x v="512"/>
    <s v="Male"/>
    <n v="24"/>
    <s v="Young Age"/>
    <x v="2"/>
    <n v="4"/>
    <n v="25"/>
    <n v="100"/>
  </r>
  <r>
    <n v="514"/>
    <d v="2023-03-01T00:00:00"/>
    <x v="513"/>
    <s v="Female"/>
    <n v="18"/>
    <s v="Young Age"/>
    <x v="2"/>
    <n v="1"/>
    <n v="300"/>
    <n v="300"/>
  </r>
  <r>
    <n v="515"/>
    <d v="2023-07-17T00:00:00"/>
    <x v="514"/>
    <s v="Female"/>
    <n v="49"/>
    <s v="Mid Age"/>
    <x v="1"/>
    <n v="3"/>
    <n v="300"/>
    <n v="900"/>
  </r>
  <r>
    <n v="516"/>
    <d v="2023-10-23T00:00:00"/>
    <x v="515"/>
    <s v="Male"/>
    <n v="30"/>
    <s v="Mid Age"/>
    <x v="0"/>
    <n v="4"/>
    <n v="25"/>
    <n v="100"/>
  </r>
  <r>
    <n v="517"/>
    <d v="2023-04-08T00:00:00"/>
    <x v="516"/>
    <s v="Female"/>
    <n v="47"/>
    <s v="Mid Age"/>
    <x v="1"/>
    <n v="4"/>
    <n v="25"/>
    <n v="100"/>
  </r>
  <r>
    <n v="518"/>
    <d v="2023-05-11T00:00:00"/>
    <x v="517"/>
    <s v="Female"/>
    <n v="40"/>
    <s v="Mid Age"/>
    <x v="1"/>
    <n v="1"/>
    <n v="30"/>
    <n v="30"/>
  </r>
  <r>
    <n v="519"/>
    <d v="2023-01-23T00:00:00"/>
    <x v="518"/>
    <s v="Female"/>
    <n v="36"/>
    <s v="Mid Age"/>
    <x v="2"/>
    <n v="4"/>
    <n v="30"/>
    <n v="120"/>
  </r>
  <r>
    <n v="520"/>
    <d v="2023-12-29T00:00:00"/>
    <x v="519"/>
    <s v="Female"/>
    <n v="49"/>
    <s v="Mid Age"/>
    <x v="2"/>
    <n v="4"/>
    <n v="25"/>
    <n v="100"/>
  </r>
  <r>
    <n v="521"/>
    <d v="2023-08-12T00:00:00"/>
    <x v="520"/>
    <s v="Female"/>
    <n v="47"/>
    <s v="Mid Age"/>
    <x v="1"/>
    <n v="4"/>
    <n v="30"/>
    <n v="120"/>
  </r>
  <r>
    <n v="522"/>
    <d v="2023-01-01T00:00:00"/>
    <x v="521"/>
    <s v="Male"/>
    <n v="46"/>
    <s v="Mid Age"/>
    <x v="0"/>
    <n v="3"/>
    <n v="500"/>
    <n v="1500"/>
  </r>
  <r>
    <n v="523"/>
    <d v="2023-09-24T00:00:00"/>
    <x v="522"/>
    <s v="Female"/>
    <n v="62"/>
    <s v="Mid Age"/>
    <x v="2"/>
    <n v="1"/>
    <n v="300"/>
    <n v="300"/>
  </r>
  <r>
    <n v="524"/>
    <d v="2023-10-03T00:00:00"/>
    <x v="523"/>
    <s v="Male"/>
    <n v="46"/>
    <s v="Mid Age"/>
    <x v="0"/>
    <n v="4"/>
    <n v="300"/>
    <n v="1200"/>
  </r>
  <r>
    <n v="525"/>
    <d v="2023-12-18T00:00:00"/>
    <x v="524"/>
    <s v="Female"/>
    <n v="47"/>
    <s v="Mid Age"/>
    <x v="0"/>
    <n v="2"/>
    <n v="25"/>
    <n v="50"/>
  </r>
  <r>
    <n v="526"/>
    <d v="2023-12-10T00:00:00"/>
    <x v="525"/>
    <s v="Male"/>
    <n v="33"/>
    <s v="Mid Age"/>
    <x v="1"/>
    <n v="2"/>
    <n v="50"/>
    <n v="100"/>
  </r>
  <r>
    <n v="527"/>
    <d v="2023-04-11T00:00:00"/>
    <x v="526"/>
    <s v="Male"/>
    <n v="57"/>
    <s v="Mid Age"/>
    <x v="1"/>
    <n v="2"/>
    <n v="25"/>
    <n v="50"/>
  </r>
  <r>
    <n v="528"/>
    <d v="2023-07-06T00:00:00"/>
    <x v="527"/>
    <s v="Female"/>
    <n v="36"/>
    <s v="Mid Age"/>
    <x v="1"/>
    <n v="2"/>
    <n v="30"/>
    <n v="60"/>
  </r>
  <r>
    <n v="529"/>
    <d v="2023-08-09T00:00:00"/>
    <x v="528"/>
    <s v="Female"/>
    <n v="35"/>
    <s v="Mid Age"/>
    <x v="1"/>
    <n v="3"/>
    <n v="50"/>
    <n v="150"/>
  </r>
  <r>
    <n v="530"/>
    <d v="2023-02-05T00:00:00"/>
    <x v="529"/>
    <s v="Female"/>
    <n v="18"/>
    <s v="Young Age"/>
    <x v="2"/>
    <n v="4"/>
    <n v="30"/>
    <n v="120"/>
  </r>
  <r>
    <n v="531"/>
    <d v="2023-12-07T00:00:00"/>
    <x v="530"/>
    <s v="Male"/>
    <n v="31"/>
    <s v="Mid Age"/>
    <x v="2"/>
    <n v="1"/>
    <n v="500"/>
    <n v="500"/>
  </r>
  <r>
    <n v="532"/>
    <d v="2023-06-19T00:00:00"/>
    <x v="531"/>
    <s v="Female"/>
    <n v="64"/>
    <s v="Mid Age"/>
    <x v="1"/>
    <n v="4"/>
    <n v="30"/>
    <n v="120"/>
  </r>
  <r>
    <n v="533"/>
    <d v="2023-11-16T00:00:00"/>
    <x v="532"/>
    <s v="Male"/>
    <n v="19"/>
    <s v="Young Age"/>
    <x v="2"/>
    <n v="3"/>
    <n v="500"/>
    <n v="1500"/>
  </r>
  <r>
    <n v="534"/>
    <d v="2023-06-10T00:00:00"/>
    <x v="533"/>
    <s v="Male"/>
    <n v="45"/>
    <s v="Mid Age"/>
    <x v="1"/>
    <n v="2"/>
    <n v="500"/>
    <n v="1000"/>
  </r>
  <r>
    <n v="535"/>
    <d v="2023-12-06T00:00:00"/>
    <x v="534"/>
    <s v="Male"/>
    <n v="47"/>
    <s v="Mid Age"/>
    <x v="0"/>
    <n v="3"/>
    <n v="30"/>
    <n v="90"/>
  </r>
  <r>
    <n v="536"/>
    <d v="2023-03-05T00:00:00"/>
    <x v="535"/>
    <s v="Female"/>
    <n v="55"/>
    <s v="Mid Age"/>
    <x v="0"/>
    <n v="4"/>
    <n v="30"/>
    <n v="120"/>
  </r>
  <r>
    <n v="537"/>
    <d v="2023-06-03T00:00:00"/>
    <x v="536"/>
    <s v="Female"/>
    <n v="21"/>
    <s v="Young Age"/>
    <x v="0"/>
    <n v="1"/>
    <n v="500"/>
    <n v="500"/>
  </r>
  <r>
    <n v="538"/>
    <d v="2023-09-17T00:00:00"/>
    <x v="537"/>
    <s v="Male"/>
    <n v="18"/>
    <s v="Young Age"/>
    <x v="1"/>
    <n v="3"/>
    <n v="50"/>
    <n v="150"/>
  </r>
  <r>
    <n v="539"/>
    <d v="2023-06-08T00:00:00"/>
    <x v="538"/>
    <s v="Male"/>
    <n v="25"/>
    <s v="Young Age"/>
    <x v="0"/>
    <n v="1"/>
    <n v="500"/>
    <n v="500"/>
  </r>
  <r>
    <n v="540"/>
    <d v="2023-12-08T00:00:00"/>
    <x v="539"/>
    <s v="Female"/>
    <n v="46"/>
    <s v="Mid Age"/>
    <x v="2"/>
    <n v="3"/>
    <n v="300"/>
    <n v="900"/>
  </r>
  <r>
    <n v="541"/>
    <d v="2023-07-29T00:00:00"/>
    <x v="540"/>
    <s v="Male"/>
    <n v="56"/>
    <s v="Mid Age"/>
    <x v="0"/>
    <n v="1"/>
    <n v="500"/>
    <n v="500"/>
  </r>
  <r>
    <n v="542"/>
    <d v="2023-06-17T00:00:00"/>
    <x v="541"/>
    <s v="Female"/>
    <n v="20"/>
    <s v="Young Age"/>
    <x v="0"/>
    <n v="1"/>
    <n v="50"/>
    <n v="50"/>
  </r>
  <r>
    <n v="543"/>
    <d v="2023-07-26T00:00:00"/>
    <x v="542"/>
    <s v="Male"/>
    <n v="49"/>
    <s v="Mid Age"/>
    <x v="0"/>
    <n v="2"/>
    <n v="300"/>
    <n v="600"/>
  </r>
  <r>
    <n v="544"/>
    <d v="2023-12-23T00:00:00"/>
    <x v="543"/>
    <s v="Female"/>
    <n v="27"/>
    <s v="Mid Age"/>
    <x v="2"/>
    <n v="1"/>
    <n v="25"/>
    <n v="25"/>
  </r>
  <r>
    <n v="545"/>
    <d v="2023-06-01T00:00:00"/>
    <x v="544"/>
    <s v="Male"/>
    <n v="27"/>
    <s v="Mid Age"/>
    <x v="1"/>
    <n v="2"/>
    <n v="25"/>
    <n v="50"/>
  </r>
  <r>
    <n v="546"/>
    <d v="2023-10-11T00:00:00"/>
    <x v="545"/>
    <s v="Female"/>
    <n v="36"/>
    <s v="Mid Age"/>
    <x v="2"/>
    <n v="4"/>
    <n v="50"/>
    <n v="200"/>
  </r>
  <r>
    <n v="547"/>
    <d v="2023-03-07T00:00:00"/>
    <x v="546"/>
    <s v="Male"/>
    <n v="63"/>
    <s v="Mid Age"/>
    <x v="1"/>
    <n v="4"/>
    <n v="500"/>
    <n v="2000"/>
  </r>
  <r>
    <n v="548"/>
    <d v="2023-04-09T00:00:00"/>
    <x v="547"/>
    <s v="Female"/>
    <n v="51"/>
    <s v="Mid Age"/>
    <x v="1"/>
    <n v="2"/>
    <n v="30"/>
    <n v="60"/>
  </r>
  <r>
    <n v="549"/>
    <d v="2023-08-04T00:00:00"/>
    <x v="548"/>
    <s v="Female"/>
    <n v="50"/>
    <s v="Mid Age"/>
    <x v="0"/>
    <n v="2"/>
    <n v="50"/>
    <n v="100"/>
  </r>
  <r>
    <n v="550"/>
    <d v="2023-12-07T00:00:00"/>
    <x v="549"/>
    <s v="Male"/>
    <n v="40"/>
    <s v="Mid Age"/>
    <x v="1"/>
    <n v="3"/>
    <n v="300"/>
    <n v="900"/>
  </r>
  <r>
    <n v="551"/>
    <d v="2023-07-14T00:00:00"/>
    <x v="550"/>
    <s v="Male"/>
    <n v="45"/>
    <s v="Mid Age"/>
    <x v="2"/>
    <n v="3"/>
    <n v="300"/>
    <n v="900"/>
  </r>
  <r>
    <n v="552"/>
    <d v="2023-12-13T00:00:00"/>
    <x v="551"/>
    <s v="Female"/>
    <n v="49"/>
    <s v="Mid Age"/>
    <x v="2"/>
    <n v="3"/>
    <n v="25"/>
    <n v="75"/>
  </r>
  <r>
    <n v="553"/>
    <d v="2023-03-31T00:00:00"/>
    <x v="552"/>
    <s v="Male"/>
    <n v="24"/>
    <s v="Young Age"/>
    <x v="1"/>
    <n v="4"/>
    <n v="300"/>
    <n v="1200"/>
  </r>
  <r>
    <n v="554"/>
    <d v="2023-11-12T00:00:00"/>
    <x v="553"/>
    <s v="Female"/>
    <n v="46"/>
    <s v="Mid Age"/>
    <x v="0"/>
    <n v="3"/>
    <n v="50"/>
    <n v="150"/>
  </r>
  <r>
    <n v="555"/>
    <d v="2023-10-19T00:00:00"/>
    <x v="554"/>
    <s v="Male"/>
    <n v="25"/>
    <s v="Young Age"/>
    <x v="0"/>
    <n v="1"/>
    <n v="300"/>
    <n v="300"/>
  </r>
  <r>
    <n v="556"/>
    <d v="2023-06-04T00:00:00"/>
    <x v="555"/>
    <s v="Female"/>
    <n v="18"/>
    <s v="Young Age"/>
    <x v="2"/>
    <n v="1"/>
    <n v="50"/>
    <n v="50"/>
  </r>
  <r>
    <n v="557"/>
    <d v="2023-07-27T00:00:00"/>
    <x v="556"/>
    <s v="Female"/>
    <n v="20"/>
    <s v="Young Age"/>
    <x v="0"/>
    <n v="3"/>
    <n v="30"/>
    <n v="90"/>
  </r>
  <r>
    <n v="558"/>
    <d v="2023-10-08T00:00:00"/>
    <x v="557"/>
    <s v="Female"/>
    <n v="41"/>
    <s v="Mid Age"/>
    <x v="1"/>
    <n v="1"/>
    <n v="25"/>
    <n v="25"/>
  </r>
  <r>
    <n v="559"/>
    <d v="2023-01-01T00:00:00"/>
    <x v="558"/>
    <s v="Female"/>
    <n v="40"/>
    <s v="Mid Age"/>
    <x v="1"/>
    <n v="4"/>
    <n v="300"/>
    <n v="1200"/>
  </r>
  <r>
    <n v="560"/>
    <d v="2023-06-05T00:00:00"/>
    <x v="559"/>
    <s v="Female"/>
    <n v="25"/>
    <s v="Young Age"/>
    <x v="2"/>
    <n v="1"/>
    <n v="50"/>
    <n v="50"/>
  </r>
  <r>
    <n v="561"/>
    <d v="2023-05-27T00:00:00"/>
    <x v="560"/>
    <s v="Female"/>
    <n v="64"/>
    <s v="Mid Age"/>
    <x v="1"/>
    <n v="4"/>
    <n v="500"/>
    <n v="2000"/>
  </r>
  <r>
    <n v="562"/>
    <d v="2023-04-18T00:00:00"/>
    <x v="561"/>
    <s v="Male"/>
    <n v="54"/>
    <s v="Mid Age"/>
    <x v="2"/>
    <n v="2"/>
    <n v="25"/>
    <n v="50"/>
  </r>
  <r>
    <n v="563"/>
    <d v="2023-08-09T00:00:00"/>
    <x v="562"/>
    <s v="Male"/>
    <n v="20"/>
    <s v="Young Age"/>
    <x v="1"/>
    <n v="2"/>
    <n v="30"/>
    <n v="60"/>
  </r>
  <r>
    <n v="564"/>
    <d v="2023-10-24T00:00:00"/>
    <x v="563"/>
    <s v="Male"/>
    <n v="50"/>
    <s v="Mid Age"/>
    <x v="2"/>
    <n v="2"/>
    <n v="50"/>
    <n v="100"/>
  </r>
  <r>
    <n v="565"/>
    <d v="2023-11-07T00:00:00"/>
    <x v="564"/>
    <s v="Female"/>
    <n v="45"/>
    <s v="Mid Age"/>
    <x v="0"/>
    <n v="2"/>
    <n v="30"/>
    <n v="60"/>
  </r>
  <r>
    <n v="566"/>
    <d v="2023-12-02T00:00:00"/>
    <x v="565"/>
    <s v="Female"/>
    <n v="64"/>
    <s v="Mid Age"/>
    <x v="1"/>
    <n v="1"/>
    <n v="30"/>
    <n v="30"/>
  </r>
  <r>
    <n v="567"/>
    <d v="2023-06-14T00:00:00"/>
    <x v="566"/>
    <s v="Female"/>
    <n v="25"/>
    <s v="Young Age"/>
    <x v="1"/>
    <n v="3"/>
    <n v="300"/>
    <n v="900"/>
  </r>
  <r>
    <n v="568"/>
    <d v="2023-08-27T00:00:00"/>
    <x v="567"/>
    <s v="Female"/>
    <n v="51"/>
    <s v="Mid Age"/>
    <x v="2"/>
    <n v="1"/>
    <n v="300"/>
    <n v="300"/>
  </r>
  <r>
    <n v="569"/>
    <d v="2023-08-15T00:00:00"/>
    <x v="568"/>
    <s v="Male"/>
    <n v="52"/>
    <s v="Mid Age"/>
    <x v="2"/>
    <n v="4"/>
    <n v="50"/>
    <n v="200"/>
  </r>
  <r>
    <n v="570"/>
    <d v="2023-08-15T00:00:00"/>
    <x v="569"/>
    <s v="Male"/>
    <n v="49"/>
    <s v="Mid Age"/>
    <x v="1"/>
    <n v="1"/>
    <n v="500"/>
    <n v="500"/>
  </r>
  <r>
    <n v="571"/>
    <d v="2023-12-12T00:00:00"/>
    <x v="570"/>
    <s v="Female"/>
    <n v="41"/>
    <s v="Mid Age"/>
    <x v="2"/>
    <n v="1"/>
    <n v="50"/>
    <n v="50"/>
  </r>
  <r>
    <n v="572"/>
    <d v="2023-04-20T00:00:00"/>
    <x v="571"/>
    <s v="Male"/>
    <n v="31"/>
    <s v="Mid Age"/>
    <x v="1"/>
    <n v="4"/>
    <n v="500"/>
    <n v="2000"/>
  </r>
  <r>
    <n v="573"/>
    <d v="2023-09-19T00:00:00"/>
    <x v="572"/>
    <s v="Male"/>
    <n v="49"/>
    <s v="Mid Age"/>
    <x v="0"/>
    <n v="2"/>
    <n v="30"/>
    <n v="60"/>
  </r>
  <r>
    <n v="574"/>
    <d v="2023-08-31T00:00:00"/>
    <x v="573"/>
    <s v="Female"/>
    <n v="63"/>
    <s v="Mid Age"/>
    <x v="2"/>
    <n v="2"/>
    <n v="25"/>
    <n v="50"/>
  </r>
  <r>
    <n v="575"/>
    <d v="2023-03-28T00:00:00"/>
    <x v="574"/>
    <s v="Male"/>
    <n v="60"/>
    <s v="Mid Age"/>
    <x v="1"/>
    <n v="2"/>
    <n v="50"/>
    <n v="100"/>
  </r>
  <r>
    <n v="576"/>
    <d v="2023-12-04T00:00:00"/>
    <x v="575"/>
    <s v="Female"/>
    <n v="33"/>
    <s v="Mid Age"/>
    <x v="0"/>
    <n v="3"/>
    <n v="50"/>
    <n v="150"/>
  </r>
  <r>
    <n v="577"/>
    <d v="2023-02-13T00:00:00"/>
    <x v="576"/>
    <s v="Male"/>
    <n v="21"/>
    <s v="Young Age"/>
    <x v="0"/>
    <n v="4"/>
    <n v="500"/>
    <n v="2000"/>
  </r>
  <r>
    <n v="578"/>
    <d v="2023-05-26T00:00:00"/>
    <x v="577"/>
    <s v="Female"/>
    <n v="54"/>
    <s v="Mid Age"/>
    <x v="1"/>
    <n v="4"/>
    <n v="30"/>
    <n v="120"/>
  </r>
  <r>
    <n v="579"/>
    <d v="2023-09-21T00:00:00"/>
    <x v="578"/>
    <s v="Female"/>
    <n v="38"/>
    <s v="Mid Age"/>
    <x v="2"/>
    <n v="1"/>
    <n v="30"/>
    <n v="30"/>
  </r>
  <r>
    <n v="580"/>
    <d v="2023-12-06T00:00:00"/>
    <x v="579"/>
    <s v="Female"/>
    <n v="31"/>
    <s v="Mid Age"/>
    <x v="1"/>
    <n v="3"/>
    <n v="500"/>
    <n v="1500"/>
  </r>
  <r>
    <n v="581"/>
    <d v="2023-11-21T00:00:00"/>
    <x v="580"/>
    <s v="Female"/>
    <n v="48"/>
    <s v="Mid Age"/>
    <x v="0"/>
    <n v="2"/>
    <n v="30"/>
    <n v="60"/>
  </r>
  <r>
    <n v="582"/>
    <d v="2023-11-14T00:00:00"/>
    <x v="581"/>
    <s v="Male"/>
    <n v="35"/>
    <s v="Mid Age"/>
    <x v="1"/>
    <n v="3"/>
    <n v="300"/>
    <n v="900"/>
  </r>
  <r>
    <n v="583"/>
    <d v="2023-06-21T00:00:00"/>
    <x v="582"/>
    <s v="Female"/>
    <n v="24"/>
    <s v="Young Age"/>
    <x v="2"/>
    <n v="4"/>
    <n v="25"/>
    <n v="100"/>
  </r>
  <r>
    <n v="584"/>
    <d v="2023-02-17T00:00:00"/>
    <x v="583"/>
    <s v="Female"/>
    <n v="27"/>
    <s v="Mid Age"/>
    <x v="0"/>
    <n v="4"/>
    <n v="50"/>
    <n v="200"/>
  </r>
  <r>
    <n v="585"/>
    <d v="2023-05-01T00:00:00"/>
    <x v="584"/>
    <s v="Female"/>
    <n v="24"/>
    <s v="Young Age"/>
    <x v="1"/>
    <n v="1"/>
    <n v="25"/>
    <n v="25"/>
  </r>
  <r>
    <n v="586"/>
    <d v="2023-12-11T00:00:00"/>
    <x v="585"/>
    <s v="Male"/>
    <n v="50"/>
    <s v="Mid Age"/>
    <x v="2"/>
    <n v="1"/>
    <n v="50"/>
    <n v="50"/>
  </r>
  <r>
    <n v="587"/>
    <d v="2023-06-08T00:00:00"/>
    <x v="586"/>
    <s v="Female"/>
    <n v="40"/>
    <s v="Mid Age"/>
    <x v="0"/>
    <n v="4"/>
    <n v="300"/>
    <n v="1200"/>
  </r>
  <r>
    <n v="588"/>
    <d v="2023-04-26T00:00:00"/>
    <x v="587"/>
    <s v="Male"/>
    <n v="38"/>
    <s v="Mid Age"/>
    <x v="2"/>
    <n v="2"/>
    <n v="30"/>
    <n v="60"/>
  </r>
  <r>
    <n v="589"/>
    <d v="2023-04-12T00:00:00"/>
    <x v="588"/>
    <s v="Female"/>
    <n v="36"/>
    <s v="Mid Age"/>
    <x v="0"/>
    <n v="2"/>
    <n v="500"/>
    <n v="1000"/>
  </r>
  <r>
    <n v="590"/>
    <d v="2023-03-17T00:00:00"/>
    <x v="589"/>
    <s v="Male"/>
    <n v="36"/>
    <s v="Mid Age"/>
    <x v="1"/>
    <n v="3"/>
    <n v="300"/>
    <n v="900"/>
  </r>
  <r>
    <n v="591"/>
    <d v="2023-01-13T00:00:00"/>
    <x v="590"/>
    <s v="Male"/>
    <n v="53"/>
    <s v="Mid Age"/>
    <x v="2"/>
    <n v="4"/>
    <n v="25"/>
    <n v="100"/>
  </r>
  <r>
    <n v="592"/>
    <d v="2023-01-24T00:00:00"/>
    <x v="591"/>
    <s v="Female"/>
    <n v="46"/>
    <s v="Mid Age"/>
    <x v="0"/>
    <n v="4"/>
    <n v="500"/>
    <n v="2000"/>
  </r>
  <r>
    <n v="593"/>
    <d v="2023-05-06T00:00:00"/>
    <x v="592"/>
    <s v="Male"/>
    <n v="35"/>
    <s v="Mid Age"/>
    <x v="2"/>
    <n v="2"/>
    <n v="30"/>
    <n v="60"/>
  </r>
  <r>
    <n v="594"/>
    <d v="2023-09-01T00:00:00"/>
    <x v="593"/>
    <s v="Female"/>
    <n v="19"/>
    <s v="Young Age"/>
    <x v="2"/>
    <n v="2"/>
    <n v="300"/>
    <n v="600"/>
  </r>
  <r>
    <n v="595"/>
    <d v="2023-11-09T00:00:00"/>
    <x v="594"/>
    <s v="Female"/>
    <n v="18"/>
    <s v="Young Age"/>
    <x v="1"/>
    <n v="4"/>
    <n v="500"/>
    <n v="2000"/>
  </r>
  <r>
    <n v="596"/>
    <d v="2023-02-07T00:00:00"/>
    <x v="595"/>
    <s v="Female"/>
    <n v="64"/>
    <s v="Mid Age"/>
    <x v="2"/>
    <n v="1"/>
    <n v="300"/>
    <n v="300"/>
  </r>
  <r>
    <n v="597"/>
    <d v="2023-08-22T00:00:00"/>
    <x v="596"/>
    <s v="Male"/>
    <n v="22"/>
    <s v="Young Age"/>
    <x v="0"/>
    <n v="4"/>
    <n v="300"/>
    <n v="1200"/>
  </r>
  <r>
    <n v="598"/>
    <d v="2023-08-01T00:00:00"/>
    <x v="597"/>
    <s v="Male"/>
    <n v="37"/>
    <s v="Mid Age"/>
    <x v="0"/>
    <n v="4"/>
    <n v="30"/>
    <n v="120"/>
  </r>
  <r>
    <n v="599"/>
    <d v="2023-11-19T00:00:00"/>
    <x v="598"/>
    <s v="Female"/>
    <n v="28"/>
    <s v="Mid Age"/>
    <x v="0"/>
    <n v="2"/>
    <n v="50"/>
    <n v="100"/>
  </r>
  <r>
    <n v="600"/>
    <d v="2023-10-22T00:00:00"/>
    <x v="599"/>
    <s v="Female"/>
    <n v="59"/>
    <s v="Mid Age"/>
    <x v="0"/>
    <n v="2"/>
    <n v="500"/>
    <n v="1000"/>
  </r>
  <r>
    <n v="601"/>
    <d v="2023-04-10T00:00:00"/>
    <x v="600"/>
    <s v="Male"/>
    <n v="19"/>
    <s v="Young Age"/>
    <x v="1"/>
    <n v="1"/>
    <n v="30"/>
    <n v="30"/>
  </r>
  <r>
    <n v="602"/>
    <d v="2023-12-23T00:00:00"/>
    <x v="601"/>
    <s v="Female"/>
    <n v="20"/>
    <s v="Young Age"/>
    <x v="2"/>
    <n v="1"/>
    <n v="300"/>
    <n v="300"/>
  </r>
  <r>
    <n v="603"/>
    <d v="2023-07-16T00:00:00"/>
    <x v="602"/>
    <s v="Female"/>
    <n v="40"/>
    <s v="Mid Age"/>
    <x v="1"/>
    <n v="3"/>
    <n v="30"/>
    <n v="90"/>
  </r>
  <r>
    <n v="604"/>
    <d v="2023-09-11T00:00:00"/>
    <x v="603"/>
    <s v="Female"/>
    <n v="29"/>
    <s v="Mid Age"/>
    <x v="2"/>
    <n v="4"/>
    <n v="50"/>
    <n v="200"/>
  </r>
  <r>
    <n v="605"/>
    <d v="2023-07-24T00:00:00"/>
    <x v="604"/>
    <s v="Male"/>
    <n v="37"/>
    <s v="Mid Age"/>
    <x v="2"/>
    <n v="2"/>
    <n v="500"/>
    <n v="1000"/>
  </r>
  <r>
    <n v="606"/>
    <d v="2023-05-05T00:00:00"/>
    <x v="605"/>
    <s v="Male"/>
    <n v="22"/>
    <s v="Young Age"/>
    <x v="2"/>
    <n v="1"/>
    <n v="50"/>
    <n v="50"/>
  </r>
  <r>
    <n v="607"/>
    <d v="2023-03-17T00:00:00"/>
    <x v="606"/>
    <s v="Male"/>
    <n v="54"/>
    <s v="Mid Age"/>
    <x v="1"/>
    <n v="3"/>
    <n v="25"/>
    <n v="75"/>
  </r>
  <r>
    <n v="608"/>
    <d v="2023-12-02T00:00:00"/>
    <x v="607"/>
    <s v="Female"/>
    <n v="55"/>
    <s v="Mid Age"/>
    <x v="2"/>
    <n v="3"/>
    <n v="500"/>
    <n v="1500"/>
  </r>
  <r>
    <n v="609"/>
    <d v="2023-12-19T00:00:00"/>
    <x v="608"/>
    <s v="Female"/>
    <n v="47"/>
    <s v="Mid Age"/>
    <x v="1"/>
    <n v="2"/>
    <n v="50"/>
    <n v="100"/>
  </r>
  <r>
    <n v="610"/>
    <d v="2023-01-03T00:00:00"/>
    <x v="609"/>
    <s v="Female"/>
    <n v="26"/>
    <s v="Mid Age"/>
    <x v="0"/>
    <n v="2"/>
    <n v="300"/>
    <n v="600"/>
  </r>
  <r>
    <n v="611"/>
    <d v="2023-02-24T00:00:00"/>
    <x v="610"/>
    <s v="Male"/>
    <n v="51"/>
    <s v="Mid Age"/>
    <x v="0"/>
    <n v="3"/>
    <n v="500"/>
    <n v="1500"/>
  </r>
  <r>
    <n v="612"/>
    <d v="2023-08-06T00:00:00"/>
    <x v="611"/>
    <s v="Female"/>
    <n v="61"/>
    <s v="Mid Age"/>
    <x v="2"/>
    <n v="1"/>
    <n v="500"/>
    <n v="500"/>
  </r>
  <r>
    <n v="613"/>
    <d v="2023-04-23T00:00:00"/>
    <x v="612"/>
    <s v="Female"/>
    <n v="52"/>
    <s v="Mid Age"/>
    <x v="1"/>
    <n v="3"/>
    <n v="30"/>
    <n v="90"/>
  </r>
  <r>
    <n v="614"/>
    <d v="2023-04-01T00:00:00"/>
    <x v="613"/>
    <s v="Female"/>
    <n v="39"/>
    <s v="Mid Age"/>
    <x v="0"/>
    <n v="4"/>
    <n v="300"/>
    <n v="1200"/>
  </r>
  <r>
    <n v="615"/>
    <d v="2023-12-23T00:00:00"/>
    <x v="614"/>
    <s v="Female"/>
    <n v="61"/>
    <s v="Mid Age"/>
    <x v="1"/>
    <n v="4"/>
    <n v="25"/>
    <n v="100"/>
  </r>
  <r>
    <n v="616"/>
    <d v="2023-09-23T00:00:00"/>
    <x v="615"/>
    <s v="Male"/>
    <n v="41"/>
    <s v="Mid Age"/>
    <x v="1"/>
    <n v="2"/>
    <n v="50"/>
    <n v="100"/>
  </r>
  <r>
    <n v="617"/>
    <d v="2023-08-26T00:00:00"/>
    <x v="616"/>
    <s v="Male"/>
    <n v="34"/>
    <s v="Mid Age"/>
    <x v="2"/>
    <n v="1"/>
    <n v="30"/>
    <n v="30"/>
  </r>
  <r>
    <n v="618"/>
    <d v="2023-01-26T00:00:00"/>
    <x v="617"/>
    <s v="Female"/>
    <n v="27"/>
    <s v="Mid Age"/>
    <x v="0"/>
    <n v="1"/>
    <n v="50"/>
    <n v="50"/>
  </r>
  <r>
    <n v="619"/>
    <d v="2023-10-13T00:00:00"/>
    <x v="618"/>
    <s v="Male"/>
    <n v="47"/>
    <s v="Mid Age"/>
    <x v="2"/>
    <n v="4"/>
    <n v="25"/>
    <n v="100"/>
  </r>
  <r>
    <n v="620"/>
    <d v="2023-05-08T00:00:00"/>
    <x v="619"/>
    <s v="Male"/>
    <n v="63"/>
    <s v="Mid Age"/>
    <x v="2"/>
    <n v="3"/>
    <n v="25"/>
    <n v="75"/>
  </r>
  <r>
    <n v="621"/>
    <d v="2023-03-04T00:00:00"/>
    <x v="620"/>
    <s v="Female"/>
    <n v="40"/>
    <s v="Mid Age"/>
    <x v="0"/>
    <n v="2"/>
    <n v="500"/>
    <n v="1000"/>
  </r>
  <r>
    <n v="622"/>
    <d v="2023-08-22T00:00:00"/>
    <x v="621"/>
    <s v="Female"/>
    <n v="49"/>
    <s v="Mid Age"/>
    <x v="0"/>
    <n v="3"/>
    <n v="25"/>
    <n v="75"/>
  </r>
  <r>
    <n v="623"/>
    <d v="2023-03-10T00:00:00"/>
    <x v="622"/>
    <s v="Male"/>
    <n v="34"/>
    <s v="Mid Age"/>
    <x v="1"/>
    <n v="3"/>
    <n v="50"/>
    <n v="150"/>
  </r>
  <r>
    <n v="624"/>
    <d v="2023-08-26T00:00:00"/>
    <x v="623"/>
    <s v="Female"/>
    <n v="34"/>
    <s v="Mid Age"/>
    <x v="0"/>
    <n v="3"/>
    <n v="300"/>
    <n v="900"/>
  </r>
  <r>
    <n v="625"/>
    <d v="2023-12-08T00:00:00"/>
    <x v="624"/>
    <s v="Male"/>
    <n v="31"/>
    <s v="Mid Age"/>
    <x v="1"/>
    <n v="1"/>
    <n v="300"/>
    <n v="300"/>
  </r>
  <r>
    <n v="626"/>
    <d v="2023-09-29T00:00:00"/>
    <x v="625"/>
    <s v="Female"/>
    <n v="26"/>
    <s v="Mid Age"/>
    <x v="1"/>
    <n v="4"/>
    <n v="500"/>
    <n v="2000"/>
  </r>
  <r>
    <n v="627"/>
    <d v="2023-10-14T00:00:00"/>
    <x v="626"/>
    <s v="Male"/>
    <n v="57"/>
    <s v="Mid Age"/>
    <x v="1"/>
    <n v="1"/>
    <n v="50"/>
    <n v="50"/>
  </r>
  <r>
    <n v="628"/>
    <d v="2023-11-01T00:00:00"/>
    <x v="627"/>
    <s v="Female"/>
    <n v="19"/>
    <s v="Young Age"/>
    <x v="0"/>
    <n v="4"/>
    <n v="50"/>
    <n v="200"/>
  </r>
  <r>
    <n v="629"/>
    <d v="2023-06-12T00:00:00"/>
    <x v="628"/>
    <s v="Male"/>
    <n v="62"/>
    <s v="Mid Age"/>
    <x v="2"/>
    <n v="2"/>
    <n v="25"/>
    <n v="50"/>
  </r>
  <r>
    <n v="630"/>
    <d v="2023-08-15T00:00:00"/>
    <x v="629"/>
    <s v="Male"/>
    <n v="42"/>
    <s v="Mid Age"/>
    <x v="1"/>
    <n v="2"/>
    <n v="50"/>
    <n v="100"/>
  </r>
  <r>
    <n v="631"/>
    <d v="2023-11-10T00:00:00"/>
    <x v="630"/>
    <s v="Male"/>
    <n v="56"/>
    <s v="Mid Age"/>
    <x v="2"/>
    <n v="3"/>
    <n v="30"/>
    <n v="90"/>
  </r>
  <r>
    <n v="632"/>
    <d v="2023-09-16T00:00:00"/>
    <x v="631"/>
    <s v="Female"/>
    <n v="26"/>
    <s v="Mid Age"/>
    <x v="2"/>
    <n v="4"/>
    <n v="25"/>
    <n v="100"/>
  </r>
  <r>
    <n v="633"/>
    <d v="2023-08-07T00:00:00"/>
    <x v="632"/>
    <s v="Male"/>
    <n v="39"/>
    <s v="Mid Age"/>
    <x v="0"/>
    <n v="4"/>
    <n v="30"/>
    <n v="120"/>
  </r>
  <r>
    <n v="634"/>
    <d v="2023-10-08T00:00:00"/>
    <x v="633"/>
    <s v="Male"/>
    <n v="60"/>
    <s v="Mid Age"/>
    <x v="2"/>
    <n v="4"/>
    <n v="500"/>
    <n v="2000"/>
  </r>
  <r>
    <n v="635"/>
    <d v="2023-08-17T00:00:00"/>
    <x v="634"/>
    <s v="Female"/>
    <n v="63"/>
    <s v="Mid Age"/>
    <x v="2"/>
    <n v="3"/>
    <n v="300"/>
    <n v="900"/>
  </r>
  <r>
    <n v="636"/>
    <d v="2023-03-23T00:00:00"/>
    <x v="635"/>
    <s v="Female"/>
    <n v="21"/>
    <s v="Young Age"/>
    <x v="0"/>
    <n v="3"/>
    <n v="500"/>
    <n v="1500"/>
  </r>
  <r>
    <n v="637"/>
    <d v="2023-09-01T00:00:00"/>
    <x v="636"/>
    <s v="Male"/>
    <n v="43"/>
    <s v="Mid Age"/>
    <x v="1"/>
    <n v="2"/>
    <n v="300"/>
    <n v="600"/>
  </r>
  <r>
    <n v="638"/>
    <d v="2023-08-19T00:00:00"/>
    <x v="637"/>
    <s v="Male"/>
    <n v="46"/>
    <s v="Mid Age"/>
    <x v="2"/>
    <n v="1"/>
    <n v="500"/>
    <n v="500"/>
  </r>
  <r>
    <n v="639"/>
    <d v="2023-05-13T00:00:00"/>
    <x v="638"/>
    <s v="Female"/>
    <n v="62"/>
    <s v="Mid Age"/>
    <x v="0"/>
    <n v="4"/>
    <n v="50"/>
    <n v="200"/>
  </r>
  <r>
    <n v="640"/>
    <d v="2023-05-07T00:00:00"/>
    <x v="639"/>
    <s v="Female"/>
    <n v="51"/>
    <s v="Mid Age"/>
    <x v="2"/>
    <n v="4"/>
    <n v="30"/>
    <n v="120"/>
  </r>
  <r>
    <n v="641"/>
    <d v="2023-11-23T00:00:00"/>
    <x v="640"/>
    <s v="Female"/>
    <n v="40"/>
    <s v="Mid Age"/>
    <x v="2"/>
    <n v="1"/>
    <n v="300"/>
    <n v="300"/>
  </r>
  <r>
    <n v="642"/>
    <d v="2023-05-22T00:00:00"/>
    <x v="641"/>
    <s v="Female"/>
    <n v="54"/>
    <s v="Mid Age"/>
    <x v="1"/>
    <n v="4"/>
    <n v="25"/>
    <n v="100"/>
  </r>
  <r>
    <n v="643"/>
    <d v="2023-09-24T00:00:00"/>
    <x v="642"/>
    <s v="Female"/>
    <n v="28"/>
    <s v="Mid Age"/>
    <x v="2"/>
    <n v="3"/>
    <n v="30"/>
    <n v="90"/>
  </r>
  <r>
    <n v="644"/>
    <d v="2023-09-06T00:00:00"/>
    <x v="643"/>
    <s v="Male"/>
    <n v="23"/>
    <s v="Young Age"/>
    <x v="0"/>
    <n v="3"/>
    <n v="25"/>
    <n v="75"/>
  </r>
  <r>
    <n v="645"/>
    <d v="2023-11-17T00:00:00"/>
    <x v="644"/>
    <s v="Female"/>
    <n v="35"/>
    <s v="Mid Age"/>
    <x v="2"/>
    <n v="4"/>
    <n v="30"/>
    <n v="120"/>
  </r>
  <r>
    <n v="646"/>
    <d v="2023-05-03T00:00:00"/>
    <x v="645"/>
    <s v="Male"/>
    <n v="38"/>
    <s v="Mid Age"/>
    <x v="1"/>
    <n v="3"/>
    <n v="30"/>
    <n v="90"/>
  </r>
  <r>
    <n v="647"/>
    <d v="2023-05-21T00:00:00"/>
    <x v="646"/>
    <s v="Male"/>
    <n v="59"/>
    <s v="Mid Age"/>
    <x v="1"/>
    <n v="3"/>
    <n v="500"/>
    <n v="1500"/>
  </r>
  <r>
    <n v="648"/>
    <d v="2023-08-14T00:00:00"/>
    <x v="647"/>
    <s v="Male"/>
    <n v="53"/>
    <s v="Mid Age"/>
    <x v="0"/>
    <n v="4"/>
    <n v="300"/>
    <n v="1200"/>
  </r>
  <r>
    <n v="649"/>
    <d v="2023-02-09T00:00:00"/>
    <x v="648"/>
    <s v="Female"/>
    <n v="58"/>
    <s v="Mid Age"/>
    <x v="1"/>
    <n v="2"/>
    <n v="300"/>
    <n v="600"/>
  </r>
  <r>
    <n v="650"/>
    <d v="2024-01-01T00:00:00"/>
    <x v="649"/>
    <s v="Male"/>
    <n v="55"/>
    <s v="Mid Age"/>
    <x v="2"/>
    <n v="1"/>
    <n v="30"/>
    <n v="30"/>
  </r>
  <r>
    <n v="651"/>
    <d v="2023-05-27T00:00:00"/>
    <x v="650"/>
    <s v="Male"/>
    <n v="51"/>
    <s v="Mid Age"/>
    <x v="1"/>
    <n v="3"/>
    <n v="50"/>
    <n v="150"/>
  </r>
  <r>
    <n v="652"/>
    <d v="2023-05-01T00:00:00"/>
    <x v="651"/>
    <s v="Female"/>
    <n v="34"/>
    <s v="Mid Age"/>
    <x v="0"/>
    <n v="2"/>
    <n v="50"/>
    <n v="100"/>
  </r>
  <r>
    <n v="653"/>
    <d v="2023-05-20T00:00:00"/>
    <x v="652"/>
    <s v="Male"/>
    <n v="54"/>
    <s v="Mid Age"/>
    <x v="1"/>
    <n v="3"/>
    <n v="25"/>
    <n v="75"/>
  </r>
  <r>
    <n v="654"/>
    <d v="2023-06-21T00:00:00"/>
    <x v="653"/>
    <s v="Male"/>
    <n v="42"/>
    <s v="Mid Age"/>
    <x v="1"/>
    <n v="3"/>
    <n v="25"/>
    <n v="75"/>
  </r>
  <r>
    <n v="655"/>
    <d v="2023-06-13T00:00:00"/>
    <x v="654"/>
    <s v="Female"/>
    <n v="55"/>
    <s v="Mid Age"/>
    <x v="1"/>
    <n v="1"/>
    <n v="500"/>
    <n v="500"/>
  </r>
  <r>
    <n v="656"/>
    <d v="2023-10-04T00:00:00"/>
    <x v="655"/>
    <s v="Male"/>
    <n v="29"/>
    <s v="Mid Age"/>
    <x v="0"/>
    <n v="3"/>
    <n v="30"/>
    <n v="90"/>
  </r>
  <r>
    <n v="657"/>
    <d v="2023-02-11T00:00:00"/>
    <x v="656"/>
    <s v="Male"/>
    <n v="40"/>
    <s v="Mid Age"/>
    <x v="1"/>
    <n v="1"/>
    <n v="25"/>
    <n v="25"/>
  </r>
  <r>
    <n v="658"/>
    <d v="2023-03-12T00:00:00"/>
    <x v="657"/>
    <s v="Male"/>
    <n v="59"/>
    <s v="Mid Age"/>
    <x v="1"/>
    <n v="1"/>
    <n v="25"/>
    <n v="25"/>
  </r>
  <r>
    <n v="659"/>
    <d v="2023-03-19T00:00:00"/>
    <x v="658"/>
    <s v="Female"/>
    <n v="39"/>
    <s v="Mid Age"/>
    <x v="2"/>
    <n v="1"/>
    <n v="30"/>
    <n v="30"/>
  </r>
  <r>
    <n v="660"/>
    <d v="2023-04-29T00:00:00"/>
    <x v="659"/>
    <s v="Female"/>
    <n v="38"/>
    <s v="Mid Age"/>
    <x v="0"/>
    <n v="2"/>
    <n v="500"/>
    <n v="1000"/>
  </r>
  <r>
    <n v="661"/>
    <d v="2023-07-16T00:00:00"/>
    <x v="660"/>
    <s v="Female"/>
    <n v="44"/>
    <s v="Mid Age"/>
    <x v="1"/>
    <n v="4"/>
    <n v="25"/>
    <n v="100"/>
  </r>
  <r>
    <n v="662"/>
    <d v="2023-12-22T00:00:00"/>
    <x v="661"/>
    <s v="Male"/>
    <n v="48"/>
    <s v="Mid Age"/>
    <x v="0"/>
    <n v="2"/>
    <n v="500"/>
    <n v="1000"/>
  </r>
  <r>
    <n v="663"/>
    <d v="2023-03-20T00:00:00"/>
    <x v="662"/>
    <s v="Male"/>
    <n v="23"/>
    <s v="Young Age"/>
    <x v="1"/>
    <n v="4"/>
    <n v="300"/>
    <n v="1200"/>
  </r>
  <r>
    <n v="664"/>
    <d v="2023-12-28T00:00:00"/>
    <x v="663"/>
    <s v="Female"/>
    <n v="44"/>
    <s v="Mid Age"/>
    <x v="1"/>
    <n v="4"/>
    <n v="500"/>
    <n v="2000"/>
  </r>
  <r>
    <n v="665"/>
    <d v="2023-04-20T00:00:00"/>
    <x v="664"/>
    <s v="Male"/>
    <n v="57"/>
    <s v="Mid Age"/>
    <x v="1"/>
    <n v="1"/>
    <n v="50"/>
    <n v="50"/>
  </r>
  <r>
    <n v="666"/>
    <d v="2023-02-02T00:00:00"/>
    <x v="665"/>
    <s v="Male"/>
    <n v="51"/>
    <s v="Mid Age"/>
    <x v="2"/>
    <n v="3"/>
    <n v="50"/>
    <n v="150"/>
  </r>
  <r>
    <n v="667"/>
    <d v="2023-08-01T00:00:00"/>
    <x v="666"/>
    <s v="Female"/>
    <n v="29"/>
    <s v="Mid Age"/>
    <x v="2"/>
    <n v="1"/>
    <n v="500"/>
    <n v="500"/>
  </r>
  <r>
    <n v="668"/>
    <d v="2023-07-28T00:00:00"/>
    <x v="667"/>
    <s v="Female"/>
    <n v="62"/>
    <s v="Mid Age"/>
    <x v="2"/>
    <n v="3"/>
    <n v="50"/>
    <n v="150"/>
  </r>
  <r>
    <n v="669"/>
    <d v="2023-06-19T00:00:00"/>
    <x v="668"/>
    <s v="Male"/>
    <n v="24"/>
    <s v="Young Age"/>
    <x v="0"/>
    <n v="4"/>
    <n v="300"/>
    <n v="1200"/>
  </r>
  <r>
    <n v="670"/>
    <d v="2023-10-05T00:00:00"/>
    <x v="669"/>
    <s v="Male"/>
    <n v="27"/>
    <s v="Mid Age"/>
    <x v="0"/>
    <n v="1"/>
    <n v="30"/>
    <n v="30"/>
  </r>
  <r>
    <n v="671"/>
    <d v="2023-08-27T00:00:00"/>
    <x v="670"/>
    <s v="Male"/>
    <n v="62"/>
    <s v="Mid Age"/>
    <x v="2"/>
    <n v="3"/>
    <n v="50"/>
    <n v="150"/>
  </r>
  <r>
    <n v="672"/>
    <d v="2023-08-01T00:00:00"/>
    <x v="671"/>
    <s v="Female"/>
    <n v="34"/>
    <s v="Mid Age"/>
    <x v="0"/>
    <n v="2"/>
    <n v="50"/>
    <n v="100"/>
  </r>
  <r>
    <n v="673"/>
    <d v="2023-02-01T00:00:00"/>
    <x v="672"/>
    <s v="Female"/>
    <n v="43"/>
    <s v="Mid Age"/>
    <x v="1"/>
    <n v="3"/>
    <n v="500"/>
    <n v="1500"/>
  </r>
  <r>
    <n v="674"/>
    <d v="2023-04-16T00:00:00"/>
    <x v="673"/>
    <s v="Female"/>
    <n v="38"/>
    <s v="Mid Age"/>
    <x v="1"/>
    <n v="1"/>
    <n v="300"/>
    <n v="300"/>
  </r>
  <r>
    <n v="675"/>
    <d v="2023-08-04T00:00:00"/>
    <x v="674"/>
    <s v="Female"/>
    <n v="45"/>
    <s v="Mid Age"/>
    <x v="1"/>
    <n v="2"/>
    <n v="30"/>
    <n v="60"/>
  </r>
  <r>
    <n v="676"/>
    <d v="2023-07-19T00:00:00"/>
    <x v="675"/>
    <s v="Male"/>
    <n v="63"/>
    <s v="Mid Age"/>
    <x v="2"/>
    <n v="3"/>
    <n v="500"/>
    <n v="1500"/>
  </r>
  <r>
    <n v="677"/>
    <d v="2023-10-27T00:00:00"/>
    <x v="676"/>
    <s v="Female"/>
    <n v="19"/>
    <s v="Young Age"/>
    <x v="0"/>
    <n v="3"/>
    <n v="500"/>
    <n v="1500"/>
  </r>
  <r>
    <n v="678"/>
    <d v="2023-12-23T00:00:00"/>
    <x v="677"/>
    <s v="Female"/>
    <n v="60"/>
    <s v="Mid Age"/>
    <x v="2"/>
    <n v="3"/>
    <n v="300"/>
    <n v="900"/>
  </r>
  <r>
    <n v="679"/>
    <d v="2023-01-11T00:00:00"/>
    <x v="678"/>
    <s v="Female"/>
    <n v="18"/>
    <s v="Young Age"/>
    <x v="0"/>
    <n v="3"/>
    <n v="30"/>
    <n v="90"/>
  </r>
  <r>
    <n v="680"/>
    <d v="2023-10-22T00:00:00"/>
    <x v="679"/>
    <s v="Female"/>
    <n v="53"/>
    <s v="Mid Age"/>
    <x v="1"/>
    <n v="3"/>
    <n v="300"/>
    <n v="900"/>
  </r>
  <r>
    <n v="681"/>
    <d v="2023-07-14T00:00:00"/>
    <x v="680"/>
    <s v="Female"/>
    <n v="43"/>
    <s v="Mid Age"/>
    <x v="2"/>
    <n v="2"/>
    <n v="30"/>
    <n v="60"/>
  </r>
  <r>
    <n v="682"/>
    <d v="2023-09-02T00:00:00"/>
    <x v="681"/>
    <s v="Male"/>
    <n v="46"/>
    <s v="Mid Age"/>
    <x v="0"/>
    <n v="4"/>
    <n v="300"/>
    <n v="1200"/>
  </r>
  <r>
    <n v="683"/>
    <d v="2023-01-04T00:00:00"/>
    <x v="682"/>
    <s v="Male"/>
    <n v="38"/>
    <s v="Mid Age"/>
    <x v="0"/>
    <n v="2"/>
    <n v="500"/>
    <n v="1000"/>
  </r>
  <r>
    <n v="684"/>
    <d v="2023-06-30T00:00:00"/>
    <x v="683"/>
    <s v="Female"/>
    <n v="28"/>
    <s v="Mid Age"/>
    <x v="1"/>
    <n v="2"/>
    <n v="500"/>
    <n v="1000"/>
  </r>
  <r>
    <n v="685"/>
    <d v="2023-06-02T00:00:00"/>
    <x v="684"/>
    <s v="Male"/>
    <n v="57"/>
    <s v="Mid Age"/>
    <x v="2"/>
    <n v="2"/>
    <n v="25"/>
    <n v="50"/>
  </r>
  <r>
    <n v="686"/>
    <d v="2023-07-19T00:00:00"/>
    <x v="685"/>
    <s v="Female"/>
    <n v="28"/>
    <s v="Mid Age"/>
    <x v="2"/>
    <n v="4"/>
    <n v="50"/>
    <n v="200"/>
  </r>
  <r>
    <n v="687"/>
    <d v="2023-08-03T00:00:00"/>
    <x v="686"/>
    <s v="Female"/>
    <n v="53"/>
    <s v="Mid Age"/>
    <x v="2"/>
    <n v="1"/>
    <n v="300"/>
    <n v="300"/>
  </r>
  <r>
    <n v="688"/>
    <d v="2023-10-03T00:00:00"/>
    <x v="687"/>
    <s v="Male"/>
    <n v="56"/>
    <s v="Mid Age"/>
    <x v="1"/>
    <n v="4"/>
    <n v="25"/>
    <n v="100"/>
  </r>
  <r>
    <n v="689"/>
    <d v="2023-10-07T00:00:00"/>
    <x v="688"/>
    <s v="Male"/>
    <n v="57"/>
    <s v="Mid Age"/>
    <x v="2"/>
    <n v="2"/>
    <n v="50"/>
    <n v="100"/>
  </r>
  <r>
    <n v="690"/>
    <d v="2023-11-05T00:00:00"/>
    <x v="689"/>
    <s v="Female"/>
    <n v="52"/>
    <s v="Mid Age"/>
    <x v="1"/>
    <n v="3"/>
    <n v="300"/>
    <n v="900"/>
  </r>
  <r>
    <n v="691"/>
    <d v="2023-04-23T00:00:00"/>
    <x v="690"/>
    <s v="Female"/>
    <n v="51"/>
    <s v="Mid Age"/>
    <x v="1"/>
    <n v="3"/>
    <n v="30"/>
    <n v="90"/>
  </r>
  <r>
    <n v="692"/>
    <d v="2023-09-07T00:00:00"/>
    <x v="691"/>
    <s v="Female"/>
    <n v="64"/>
    <s v="Mid Age"/>
    <x v="1"/>
    <n v="2"/>
    <n v="50"/>
    <n v="100"/>
  </r>
  <r>
    <n v="693"/>
    <d v="2023-04-23T00:00:00"/>
    <x v="692"/>
    <s v="Male"/>
    <n v="41"/>
    <s v="Mid Age"/>
    <x v="0"/>
    <n v="3"/>
    <n v="500"/>
    <n v="1500"/>
  </r>
  <r>
    <n v="694"/>
    <d v="2023-05-20T00:00:00"/>
    <x v="693"/>
    <s v="Female"/>
    <n v="39"/>
    <s v="Mid Age"/>
    <x v="2"/>
    <n v="2"/>
    <n v="25"/>
    <n v="50"/>
  </r>
  <r>
    <n v="695"/>
    <d v="2023-08-12T00:00:00"/>
    <x v="694"/>
    <s v="Female"/>
    <n v="22"/>
    <s v="Young Age"/>
    <x v="2"/>
    <n v="3"/>
    <n v="50"/>
    <n v="150"/>
  </r>
  <r>
    <n v="696"/>
    <d v="2023-09-06T00:00:00"/>
    <x v="695"/>
    <s v="Female"/>
    <n v="50"/>
    <s v="Mid Age"/>
    <x v="1"/>
    <n v="4"/>
    <n v="50"/>
    <n v="200"/>
  </r>
  <r>
    <n v="697"/>
    <d v="2023-01-15T00:00:00"/>
    <x v="696"/>
    <s v="Male"/>
    <n v="53"/>
    <s v="Mid Age"/>
    <x v="1"/>
    <n v="1"/>
    <n v="500"/>
    <n v="500"/>
  </r>
  <r>
    <n v="698"/>
    <d v="2023-07-19T00:00:00"/>
    <x v="697"/>
    <s v="Female"/>
    <n v="64"/>
    <s v="Mid Age"/>
    <x v="2"/>
    <n v="1"/>
    <n v="300"/>
    <n v="300"/>
  </r>
  <r>
    <n v="699"/>
    <d v="2023-06-22T00:00:00"/>
    <x v="698"/>
    <s v="Female"/>
    <n v="37"/>
    <s v="Mid Age"/>
    <x v="1"/>
    <n v="4"/>
    <n v="30"/>
    <n v="120"/>
  </r>
  <r>
    <n v="700"/>
    <d v="2023-12-09T00:00:00"/>
    <x v="699"/>
    <s v="Male"/>
    <n v="36"/>
    <s v="Mid Age"/>
    <x v="2"/>
    <n v="4"/>
    <n v="500"/>
    <n v="2000"/>
  </r>
  <r>
    <n v="701"/>
    <d v="2023-12-14T00:00:00"/>
    <x v="700"/>
    <s v="Female"/>
    <n v="52"/>
    <s v="Mid Age"/>
    <x v="0"/>
    <n v="2"/>
    <n v="30"/>
    <n v="60"/>
  </r>
  <r>
    <n v="702"/>
    <d v="2023-07-27T00:00:00"/>
    <x v="701"/>
    <s v="Female"/>
    <n v="60"/>
    <s v="Mid Age"/>
    <x v="1"/>
    <n v="2"/>
    <n v="300"/>
    <n v="600"/>
  </r>
  <r>
    <n v="703"/>
    <d v="2023-03-26T00:00:00"/>
    <x v="702"/>
    <s v="Male"/>
    <n v="34"/>
    <s v="Mid Age"/>
    <x v="2"/>
    <n v="2"/>
    <n v="50"/>
    <n v="100"/>
  </r>
  <r>
    <n v="704"/>
    <d v="2023-08-28T00:00:00"/>
    <x v="703"/>
    <s v="Female"/>
    <n v="62"/>
    <s v="Mid Age"/>
    <x v="1"/>
    <n v="3"/>
    <n v="30"/>
    <n v="90"/>
  </r>
  <r>
    <n v="705"/>
    <d v="2023-03-07T00:00:00"/>
    <x v="704"/>
    <s v="Male"/>
    <n v="60"/>
    <s v="Mid Age"/>
    <x v="2"/>
    <n v="2"/>
    <n v="25"/>
    <n v="50"/>
  </r>
  <r>
    <n v="706"/>
    <d v="2023-11-15T00:00:00"/>
    <x v="705"/>
    <s v="Male"/>
    <n v="51"/>
    <s v="Mid Age"/>
    <x v="2"/>
    <n v="4"/>
    <n v="25"/>
    <n v="100"/>
  </r>
  <r>
    <n v="707"/>
    <d v="2023-10-01T00:00:00"/>
    <x v="706"/>
    <s v="Female"/>
    <n v="26"/>
    <s v="Mid Age"/>
    <x v="1"/>
    <n v="1"/>
    <n v="500"/>
    <n v="500"/>
  </r>
  <r>
    <n v="708"/>
    <d v="2023-01-14T00:00:00"/>
    <x v="707"/>
    <s v="Female"/>
    <n v="43"/>
    <s v="Mid Age"/>
    <x v="0"/>
    <n v="3"/>
    <n v="300"/>
    <n v="900"/>
  </r>
  <r>
    <n v="709"/>
    <d v="2023-07-21T00:00:00"/>
    <x v="708"/>
    <s v="Female"/>
    <n v="19"/>
    <s v="Young Age"/>
    <x v="2"/>
    <n v="2"/>
    <n v="500"/>
    <n v="1000"/>
  </r>
  <r>
    <n v="710"/>
    <d v="2023-10-31T00:00:00"/>
    <x v="709"/>
    <s v="Female"/>
    <n v="26"/>
    <s v="Mid Age"/>
    <x v="2"/>
    <n v="3"/>
    <n v="500"/>
    <n v="1500"/>
  </r>
  <r>
    <n v="711"/>
    <d v="2023-10-16T00:00:00"/>
    <x v="710"/>
    <s v="Male"/>
    <n v="26"/>
    <s v="Mid Age"/>
    <x v="2"/>
    <n v="3"/>
    <n v="500"/>
    <n v="1500"/>
  </r>
  <r>
    <n v="712"/>
    <d v="2023-12-06T00:00:00"/>
    <x v="711"/>
    <s v="Female"/>
    <n v="57"/>
    <s v="Mid Age"/>
    <x v="0"/>
    <n v="2"/>
    <n v="25"/>
    <n v="50"/>
  </r>
  <r>
    <n v="713"/>
    <d v="2023-01-14T00:00:00"/>
    <x v="712"/>
    <s v="Male"/>
    <n v="34"/>
    <s v="Mid Age"/>
    <x v="0"/>
    <n v="3"/>
    <n v="25"/>
    <n v="75"/>
  </r>
  <r>
    <n v="714"/>
    <d v="2023-02-12T00:00:00"/>
    <x v="713"/>
    <s v="Female"/>
    <n v="18"/>
    <s v="Young Age"/>
    <x v="1"/>
    <n v="1"/>
    <n v="500"/>
    <n v="500"/>
  </r>
  <r>
    <n v="715"/>
    <d v="2023-11-26T00:00:00"/>
    <x v="714"/>
    <s v="Female"/>
    <n v="42"/>
    <s v="Mid Age"/>
    <x v="0"/>
    <n v="4"/>
    <n v="25"/>
    <n v="100"/>
  </r>
  <r>
    <n v="716"/>
    <d v="2023-08-08T00:00:00"/>
    <x v="715"/>
    <s v="Female"/>
    <n v="60"/>
    <s v="Mid Age"/>
    <x v="1"/>
    <n v="4"/>
    <n v="300"/>
    <n v="1200"/>
  </r>
  <r>
    <n v="717"/>
    <d v="2023-03-11T00:00:00"/>
    <x v="716"/>
    <s v="Male"/>
    <n v="57"/>
    <s v="Mid Age"/>
    <x v="1"/>
    <n v="1"/>
    <n v="500"/>
    <n v="500"/>
  </r>
  <r>
    <n v="718"/>
    <d v="2023-08-25T00:00:00"/>
    <x v="717"/>
    <s v="Female"/>
    <n v="59"/>
    <s v="Mid Age"/>
    <x v="0"/>
    <n v="3"/>
    <n v="25"/>
    <n v="75"/>
  </r>
  <r>
    <n v="719"/>
    <d v="2023-04-04T00:00:00"/>
    <x v="718"/>
    <s v="Female"/>
    <n v="42"/>
    <s v="Mid Age"/>
    <x v="1"/>
    <n v="2"/>
    <n v="30"/>
    <n v="60"/>
  </r>
  <r>
    <n v="720"/>
    <d v="2023-01-26T00:00:00"/>
    <x v="719"/>
    <s v="Female"/>
    <n v="56"/>
    <s v="Mid Age"/>
    <x v="0"/>
    <n v="3"/>
    <n v="500"/>
    <n v="1500"/>
  </r>
  <r>
    <n v="721"/>
    <d v="2023-05-14T00:00:00"/>
    <x v="720"/>
    <s v="Female"/>
    <n v="52"/>
    <s v="Mid Age"/>
    <x v="1"/>
    <n v="1"/>
    <n v="500"/>
    <n v="500"/>
  </r>
  <r>
    <n v="722"/>
    <d v="2023-07-14T00:00:00"/>
    <x v="721"/>
    <s v="Male"/>
    <n v="20"/>
    <s v="Young Age"/>
    <x v="0"/>
    <n v="3"/>
    <n v="300"/>
    <n v="900"/>
  </r>
  <r>
    <n v="723"/>
    <d v="2023-06-17T00:00:00"/>
    <x v="722"/>
    <s v="Female"/>
    <n v="54"/>
    <s v="Mid Age"/>
    <x v="0"/>
    <n v="4"/>
    <n v="50"/>
    <n v="200"/>
  </r>
  <r>
    <n v="724"/>
    <d v="2023-04-19T00:00:00"/>
    <x v="723"/>
    <s v="Male"/>
    <n v="61"/>
    <s v="Mid Age"/>
    <x v="1"/>
    <n v="3"/>
    <n v="50"/>
    <n v="150"/>
  </r>
  <r>
    <n v="725"/>
    <d v="2023-08-21T00:00:00"/>
    <x v="724"/>
    <s v="Male"/>
    <n v="61"/>
    <s v="Mid Age"/>
    <x v="2"/>
    <n v="1"/>
    <n v="300"/>
    <n v="300"/>
  </r>
  <r>
    <n v="726"/>
    <d v="2023-06-17T00:00:00"/>
    <x v="725"/>
    <s v="Male"/>
    <n v="47"/>
    <s v="Mid Age"/>
    <x v="1"/>
    <n v="4"/>
    <n v="300"/>
    <n v="1200"/>
  </r>
  <r>
    <n v="727"/>
    <d v="2023-06-22T00:00:00"/>
    <x v="726"/>
    <s v="Male"/>
    <n v="55"/>
    <s v="Mid Age"/>
    <x v="0"/>
    <n v="3"/>
    <n v="300"/>
    <n v="900"/>
  </r>
  <r>
    <n v="728"/>
    <d v="2023-07-14T00:00:00"/>
    <x v="727"/>
    <s v="Male"/>
    <n v="51"/>
    <s v="Mid Age"/>
    <x v="2"/>
    <n v="3"/>
    <n v="50"/>
    <n v="150"/>
  </r>
  <r>
    <n v="729"/>
    <d v="2023-05-23T00:00:00"/>
    <x v="728"/>
    <s v="Male"/>
    <n v="29"/>
    <s v="Mid Age"/>
    <x v="1"/>
    <n v="4"/>
    <n v="300"/>
    <n v="1200"/>
  </r>
  <r>
    <n v="730"/>
    <d v="2023-08-04T00:00:00"/>
    <x v="729"/>
    <s v="Female"/>
    <n v="36"/>
    <s v="Mid Age"/>
    <x v="1"/>
    <n v="2"/>
    <n v="25"/>
    <n v="50"/>
  </r>
  <r>
    <n v="731"/>
    <d v="2023-05-10T00:00:00"/>
    <x v="730"/>
    <s v="Male"/>
    <n v="54"/>
    <s v="Mid Age"/>
    <x v="1"/>
    <n v="4"/>
    <n v="500"/>
    <n v="2000"/>
  </r>
  <r>
    <n v="732"/>
    <d v="2023-02-11T00:00:00"/>
    <x v="731"/>
    <s v="Male"/>
    <n v="61"/>
    <s v="Mid Age"/>
    <x v="2"/>
    <n v="2"/>
    <n v="500"/>
    <n v="1000"/>
  </r>
  <r>
    <n v="733"/>
    <d v="2023-08-29T00:00:00"/>
    <x v="732"/>
    <s v="Male"/>
    <n v="34"/>
    <s v="Mid Age"/>
    <x v="0"/>
    <n v="1"/>
    <n v="30"/>
    <n v="30"/>
  </r>
  <r>
    <n v="734"/>
    <d v="2023-01-10T00:00:00"/>
    <x v="733"/>
    <s v="Female"/>
    <n v="27"/>
    <s v="Mid Age"/>
    <x v="1"/>
    <n v="1"/>
    <n v="30"/>
    <n v="30"/>
  </r>
  <r>
    <n v="735"/>
    <d v="2023-10-04T00:00:00"/>
    <x v="734"/>
    <s v="Female"/>
    <n v="64"/>
    <s v="Mid Age"/>
    <x v="1"/>
    <n v="4"/>
    <n v="500"/>
    <n v="2000"/>
  </r>
  <r>
    <n v="736"/>
    <d v="2023-01-27T00:00:00"/>
    <x v="735"/>
    <s v="Male"/>
    <n v="29"/>
    <s v="Mid Age"/>
    <x v="1"/>
    <n v="4"/>
    <n v="25"/>
    <n v="100"/>
  </r>
  <r>
    <n v="737"/>
    <d v="2023-06-29T00:00:00"/>
    <x v="736"/>
    <s v="Female"/>
    <n v="33"/>
    <s v="Mid Age"/>
    <x v="1"/>
    <n v="1"/>
    <n v="50"/>
    <n v="50"/>
  </r>
  <r>
    <n v="738"/>
    <d v="2023-04-25T00:00:00"/>
    <x v="737"/>
    <s v="Male"/>
    <n v="41"/>
    <s v="Mid Age"/>
    <x v="1"/>
    <n v="2"/>
    <n v="50"/>
    <n v="100"/>
  </r>
  <r>
    <n v="739"/>
    <d v="2023-11-29T00:00:00"/>
    <x v="738"/>
    <s v="Male"/>
    <n v="36"/>
    <s v="Mid Age"/>
    <x v="0"/>
    <n v="1"/>
    <n v="25"/>
    <n v="25"/>
  </r>
  <r>
    <n v="740"/>
    <d v="2023-02-05T00:00:00"/>
    <x v="739"/>
    <s v="Female"/>
    <n v="25"/>
    <s v="Young Age"/>
    <x v="0"/>
    <n v="4"/>
    <n v="50"/>
    <n v="200"/>
  </r>
  <r>
    <n v="741"/>
    <d v="2023-11-30T00:00:00"/>
    <x v="740"/>
    <s v="Male"/>
    <n v="48"/>
    <s v="Mid Age"/>
    <x v="1"/>
    <n v="1"/>
    <n v="300"/>
    <n v="300"/>
  </r>
  <r>
    <n v="742"/>
    <d v="2023-01-21T00:00:00"/>
    <x v="741"/>
    <s v="Female"/>
    <n v="38"/>
    <s v="Mid Age"/>
    <x v="2"/>
    <n v="4"/>
    <n v="500"/>
    <n v="2000"/>
  </r>
  <r>
    <n v="743"/>
    <d v="2023-01-16T00:00:00"/>
    <x v="742"/>
    <s v="Female"/>
    <n v="34"/>
    <s v="Mid Age"/>
    <x v="0"/>
    <n v="4"/>
    <n v="500"/>
    <n v="2000"/>
  </r>
  <r>
    <n v="744"/>
    <d v="2023-05-07T00:00:00"/>
    <x v="743"/>
    <s v="Male"/>
    <n v="40"/>
    <s v="Mid Age"/>
    <x v="2"/>
    <n v="1"/>
    <n v="25"/>
    <n v="25"/>
  </r>
  <r>
    <n v="745"/>
    <d v="2023-04-13T00:00:00"/>
    <x v="744"/>
    <s v="Male"/>
    <n v="54"/>
    <s v="Mid Age"/>
    <x v="0"/>
    <n v="2"/>
    <n v="50"/>
    <n v="100"/>
  </r>
  <r>
    <n v="746"/>
    <d v="2023-01-11T00:00:00"/>
    <x v="745"/>
    <s v="Female"/>
    <n v="33"/>
    <s v="Mid Age"/>
    <x v="1"/>
    <n v="3"/>
    <n v="30"/>
    <n v="90"/>
  </r>
  <r>
    <n v="747"/>
    <d v="2023-11-15T00:00:00"/>
    <x v="746"/>
    <s v="Male"/>
    <n v="23"/>
    <s v="Young Age"/>
    <x v="0"/>
    <n v="1"/>
    <n v="30"/>
    <n v="30"/>
  </r>
  <r>
    <n v="748"/>
    <d v="2023-03-20T00:00:00"/>
    <x v="747"/>
    <s v="Male"/>
    <n v="25"/>
    <s v="Young Age"/>
    <x v="1"/>
    <n v="3"/>
    <n v="50"/>
    <n v="150"/>
  </r>
  <r>
    <n v="749"/>
    <d v="2023-05-03T00:00:00"/>
    <x v="748"/>
    <s v="Male"/>
    <n v="42"/>
    <s v="Mid Age"/>
    <x v="0"/>
    <n v="1"/>
    <n v="30"/>
    <n v="30"/>
  </r>
  <r>
    <n v="750"/>
    <d v="2023-03-06T00:00:00"/>
    <x v="749"/>
    <s v="Female"/>
    <n v="35"/>
    <s v="Mid Age"/>
    <x v="1"/>
    <n v="3"/>
    <n v="25"/>
    <n v="75"/>
  </r>
  <r>
    <n v="751"/>
    <d v="2023-08-31T00:00:00"/>
    <x v="750"/>
    <s v="Female"/>
    <n v="42"/>
    <s v="Mid Age"/>
    <x v="1"/>
    <n v="2"/>
    <n v="25"/>
    <n v="50"/>
  </r>
  <r>
    <n v="752"/>
    <d v="2023-12-09T00:00:00"/>
    <x v="751"/>
    <s v="Male"/>
    <n v="29"/>
    <s v="Mid Age"/>
    <x v="1"/>
    <n v="2"/>
    <n v="50"/>
    <n v="100"/>
  </r>
  <r>
    <n v="753"/>
    <d v="2023-02-28T00:00:00"/>
    <x v="752"/>
    <s v="Female"/>
    <n v="32"/>
    <s v="Mid Age"/>
    <x v="1"/>
    <n v="1"/>
    <n v="30"/>
    <n v="30"/>
  </r>
  <r>
    <n v="754"/>
    <d v="2023-10-16T00:00:00"/>
    <x v="753"/>
    <s v="Female"/>
    <n v="43"/>
    <s v="Mid Age"/>
    <x v="2"/>
    <n v="4"/>
    <n v="25"/>
    <n v="100"/>
  </r>
  <r>
    <n v="755"/>
    <d v="2023-04-22T00:00:00"/>
    <x v="754"/>
    <s v="Female"/>
    <n v="58"/>
    <s v="Mid Age"/>
    <x v="1"/>
    <n v="3"/>
    <n v="25"/>
    <n v="75"/>
  </r>
  <r>
    <n v="756"/>
    <d v="2023-08-27T00:00:00"/>
    <x v="755"/>
    <s v="Female"/>
    <n v="62"/>
    <s v="Mid Age"/>
    <x v="2"/>
    <n v="4"/>
    <n v="300"/>
    <n v="1200"/>
  </r>
  <r>
    <n v="757"/>
    <d v="2023-12-25T00:00:00"/>
    <x v="756"/>
    <s v="Female"/>
    <n v="43"/>
    <s v="Mid Age"/>
    <x v="2"/>
    <n v="4"/>
    <n v="300"/>
    <n v="1200"/>
  </r>
  <r>
    <n v="758"/>
    <d v="2023-05-12T00:00:00"/>
    <x v="757"/>
    <s v="Male"/>
    <n v="64"/>
    <s v="Mid Age"/>
    <x v="1"/>
    <n v="4"/>
    <n v="25"/>
    <n v="100"/>
  </r>
  <r>
    <n v="759"/>
    <d v="2023-07-08T00:00:00"/>
    <x v="758"/>
    <s v="Male"/>
    <n v="49"/>
    <s v="Mid Age"/>
    <x v="2"/>
    <n v="2"/>
    <n v="50"/>
    <n v="100"/>
  </r>
  <r>
    <n v="760"/>
    <d v="2023-03-27T00:00:00"/>
    <x v="759"/>
    <s v="Male"/>
    <n v="27"/>
    <s v="Mid Age"/>
    <x v="0"/>
    <n v="1"/>
    <n v="500"/>
    <n v="500"/>
  </r>
  <r>
    <n v="761"/>
    <d v="2023-11-07T00:00:00"/>
    <x v="760"/>
    <s v="Female"/>
    <n v="33"/>
    <s v="Mid Age"/>
    <x v="1"/>
    <n v="1"/>
    <n v="500"/>
    <n v="500"/>
  </r>
  <r>
    <n v="762"/>
    <d v="2023-11-07T00:00:00"/>
    <x v="761"/>
    <s v="Female"/>
    <n v="24"/>
    <s v="Young Age"/>
    <x v="2"/>
    <n v="2"/>
    <n v="25"/>
    <n v="50"/>
  </r>
  <r>
    <n v="763"/>
    <d v="2023-02-28T00:00:00"/>
    <x v="762"/>
    <s v="Male"/>
    <n v="34"/>
    <s v="Mid Age"/>
    <x v="1"/>
    <n v="2"/>
    <n v="25"/>
    <n v="50"/>
  </r>
  <r>
    <n v="764"/>
    <d v="2023-03-25T00:00:00"/>
    <x v="763"/>
    <s v="Female"/>
    <n v="40"/>
    <s v="Mid Age"/>
    <x v="1"/>
    <n v="1"/>
    <n v="25"/>
    <n v="25"/>
  </r>
  <r>
    <n v="765"/>
    <d v="2023-06-09T00:00:00"/>
    <x v="764"/>
    <s v="Male"/>
    <n v="43"/>
    <s v="Mid Age"/>
    <x v="1"/>
    <n v="4"/>
    <n v="50"/>
    <n v="200"/>
  </r>
  <r>
    <n v="766"/>
    <d v="2023-02-25T00:00:00"/>
    <x v="765"/>
    <s v="Male"/>
    <n v="38"/>
    <s v="Mid Age"/>
    <x v="2"/>
    <n v="3"/>
    <n v="300"/>
    <n v="900"/>
  </r>
  <r>
    <n v="767"/>
    <d v="2023-10-24T00:00:00"/>
    <x v="766"/>
    <s v="Male"/>
    <n v="39"/>
    <s v="Mid Age"/>
    <x v="0"/>
    <n v="3"/>
    <n v="25"/>
    <n v="75"/>
  </r>
  <r>
    <n v="768"/>
    <d v="2023-01-14T00:00:00"/>
    <x v="767"/>
    <s v="Female"/>
    <n v="24"/>
    <s v="Young Age"/>
    <x v="0"/>
    <n v="3"/>
    <n v="25"/>
    <n v="75"/>
  </r>
  <r>
    <n v="769"/>
    <d v="2023-06-09T00:00:00"/>
    <x v="768"/>
    <s v="Female"/>
    <n v="31"/>
    <s v="Mid Age"/>
    <x v="2"/>
    <n v="4"/>
    <n v="30"/>
    <n v="120"/>
  </r>
  <r>
    <n v="770"/>
    <d v="2023-10-22T00:00:00"/>
    <x v="769"/>
    <s v="Male"/>
    <n v="32"/>
    <s v="Mid Age"/>
    <x v="1"/>
    <n v="1"/>
    <n v="50"/>
    <n v="50"/>
  </r>
  <r>
    <n v="771"/>
    <d v="2023-12-13T00:00:00"/>
    <x v="770"/>
    <s v="Male"/>
    <n v="24"/>
    <s v="Young Age"/>
    <x v="2"/>
    <n v="2"/>
    <n v="25"/>
    <n v="50"/>
  </r>
  <r>
    <n v="772"/>
    <d v="2023-07-12T00:00:00"/>
    <x v="771"/>
    <s v="Male"/>
    <n v="26"/>
    <s v="Mid Age"/>
    <x v="2"/>
    <n v="1"/>
    <n v="30"/>
    <n v="30"/>
  </r>
  <r>
    <n v="773"/>
    <d v="2023-07-23T00:00:00"/>
    <x v="772"/>
    <s v="Male"/>
    <n v="25"/>
    <s v="Young Age"/>
    <x v="2"/>
    <n v="4"/>
    <n v="500"/>
    <n v="2000"/>
  </r>
  <r>
    <n v="774"/>
    <d v="2023-04-12T00:00:00"/>
    <x v="773"/>
    <s v="Female"/>
    <n v="40"/>
    <s v="Mid Age"/>
    <x v="1"/>
    <n v="2"/>
    <n v="25"/>
    <n v="50"/>
  </r>
  <r>
    <n v="775"/>
    <d v="2023-02-08T00:00:00"/>
    <x v="774"/>
    <s v="Female"/>
    <n v="46"/>
    <s v="Mid Age"/>
    <x v="2"/>
    <n v="4"/>
    <n v="25"/>
    <n v="100"/>
  </r>
  <r>
    <n v="776"/>
    <d v="2023-10-31T00:00:00"/>
    <x v="775"/>
    <s v="Male"/>
    <n v="35"/>
    <s v="Mid Age"/>
    <x v="1"/>
    <n v="3"/>
    <n v="30"/>
    <n v="90"/>
  </r>
  <r>
    <n v="777"/>
    <d v="2023-12-20T00:00:00"/>
    <x v="776"/>
    <s v="Male"/>
    <n v="48"/>
    <s v="Mid Age"/>
    <x v="2"/>
    <n v="3"/>
    <n v="50"/>
    <n v="150"/>
  </r>
  <r>
    <n v="778"/>
    <d v="2023-11-18T00:00:00"/>
    <x v="777"/>
    <s v="Female"/>
    <n v="47"/>
    <s v="Mid Age"/>
    <x v="0"/>
    <n v="4"/>
    <n v="25"/>
    <n v="100"/>
  </r>
  <r>
    <n v="779"/>
    <d v="2023-05-05T00:00:00"/>
    <x v="778"/>
    <s v="Female"/>
    <n v="56"/>
    <s v="Mid Age"/>
    <x v="2"/>
    <n v="2"/>
    <n v="500"/>
    <n v="1000"/>
  </r>
  <r>
    <n v="780"/>
    <d v="2023-02-22T00:00:00"/>
    <x v="779"/>
    <s v="Male"/>
    <n v="52"/>
    <s v="Mid Age"/>
    <x v="2"/>
    <n v="2"/>
    <n v="25"/>
    <n v="50"/>
  </r>
  <r>
    <n v="781"/>
    <d v="2023-12-23T00:00:00"/>
    <x v="780"/>
    <s v="Male"/>
    <n v="35"/>
    <s v="Mid Age"/>
    <x v="0"/>
    <n v="1"/>
    <n v="500"/>
    <n v="500"/>
  </r>
  <r>
    <n v="782"/>
    <d v="2023-06-04T00:00:00"/>
    <x v="781"/>
    <s v="Male"/>
    <n v="59"/>
    <s v="Mid Age"/>
    <x v="1"/>
    <n v="3"/>
    <n v="300"/>
    <n v="900"/>
  </r>
  <r>
    <n v="783"/>
    <d v="2023-12-17T00:00:00"/>
    <x v="782"/>
    <s v="Female"/>
    <n v="56"/>
    <s v="Mid Age"/>
    <x v="1"/>
    <n v="1"/>
    <n v="300"/>
    <n v="300"/>
  </r>
  <r>
    <n v="784"/>
    <d v="2023-11-04T00:00:00"/>
    <x v="783"/>
    <s v="Female"/>
    <n v="34"/>
    <s v="Mid Age"/>
    <x v="2"/>
    <n v="1"/>
    <n v="500"/>
    <n v="500"/>
  </r>
  <r>
    <n v="785"/>
    <d v="2023-03-03T00:00:00"/>
    <x v="784"/>
    <s v="Female"/>
    <n v="31"/>
    <s v="Mid Age"/>
    <x v="0"/>
    <n v="4"/>
    <n v="50"/>
    <n v="200"/>
  </r>
  <r>
    <n v="786"/>
    <d v="2023-10-17T00:00:00"/>
    <x v="785"/>
    <s v="Male"/>
    <n v="48"/>
    <s v="Mid Age"/>
    <x v="1"/>
    <n v="4"/>
    <n v="25"/>
    <n v="100"/>
  </r>
  <r>
    <n v="787"/>
    <d v="2023-01-22T00:00:00"/>
    <x v="786"/>
    <s v="Male"/>
    <n v="41"/>
    <s v="Mid Age"/>
    <x v="2"/>
    <n v="1"/>
    <n v="25"/>
    <n v="25"/>
  </r>
  <r>
    <n v="788"/>
    <d v="2023-06-27T00:00:00"/>
    <x v="787"/>
    <s v="Female"/>
    <n v="52"/>
    <s v="Mid Age"/>
    <x v="0"/>
    <n v="3"/>
    <n v="300"/>
    <n v="900"/>
  </r>
  <r>
    <n v="789"/>
    <d v="2023-09-30T00:00:00"/>
    <x v="788"/>
    <s v="Female"/>
    <n v="61"/>
    <s v="Mid Age"/>
    <x v="1"/>
    <n v="4"/>
    <n v="500"/>
    <n v="2000"/>
  </r>
  <r>
    <n v="790"/>
    <d v="2023-08-08T00:00:00"/>
    <x v="789"/>
    <s v="Male"/>
    <n v="62"/>
    <s v="Mid Age"/>
    <x v="1"/>
    <n v="1"/>
    <n v="25"/>
    <n v="25"/>
  </r>
  <r>
    <n v="791"/>
    <d v="2023-12-05T00:00:00"/>
    <x v="790"/>
    <s v="Female"/>
    <n v="51"/>
    <s v="Mid Age"/>
    <x v="0"/>
    <n v="1"/>
    <n v="25"/>
    <n v="25"/>
  </r>
  <r>
    <n v="792"/>
    <d v="2023-07-09T00:00:00"/>
    <x v="791"/>
    <s v="Female"/>
    <n v="20"/>
    <s v="Young Age"/>
    <x v="0"/>
    <n v="1"/>
    <n v="50"/>
    <n v="50"/>
  </r>
  <r>
    <n v="793"/>
    <d v="2023-02-05T00:00:00"/>
    <x v="792"/>
    <s v="Male"/>
    <n v="54"/>
    <s v="Mid Age"/>
    <x v="0"/>
    <n v="1"/>
    <n v="30"/>
    <n v="30"/>
  </r>
  <r>
    <n v="794"/>
    <d v="2023-09-17T00:00:00"/>
    <x v="793"/>
    <s v="Female"/>
    <n v="60"/>
    <s v="Mid Age"/>
    <x v="0"/>
    <n v="1"/>
    <n v="300"/>
    <n v="300"/>
  </r>
  <r>
    <n v="795"/>
    <d v="2023-11-28T00:00:00"/>
    <x v="794"/>
    <s v="Male"/>
    <n v="57"/>
    <s v="Mid Age"/>
    <x v="2"/>
    <n v="1"/>
    <n v="300"/>
    <n v="300"/>
  </r>
  <r>
    <n v="796"/>
    <d v="2023-06-24T00:00:00"/>
    <x v="795"/>
    <s v="Male"/>
    <n v="43"/>
    <s v="Mid Age"/>
    <x v="0"/>
    <n v="4"/>
    <n v="30"/>
    <n v="120"/>
  </r>
  <r>
    <n v="797"/>
    <d v="2023-01-07T00:00:00"/>
    <x v="796"/>
    <s v="Male"/>
    <n v="40"/>
    <s v="Mid Age"/>
    <x v="1"/>
    <n v="3"/>
    <n v="25"/>
    <n v="75"/>
  </r>
  <r>
    <n v="798"/>
    <d v="2023-08-04T00:00:00"/>
    <x v="797"/>
    <s v="Male"/>
    <n v="61"/>
    <s v="Mid Age"/>
    <x v="1"/>
    <n v="1"/>
    <n v="50"/>
    <n v="50"/>
  </r>
  <r>
    <n v="799"/>
    <d v="2023-09-08T00:00:00"/>
    <x v="798"/>
    <s v="Male"/>
    <n v="56"/>
    <s v="Mid Age"/>
    <x v="2"/>
    <n v="2"/>
    <n v="50"/>
    <n v="100"/>
  </r>
  <r>
    <n v="800"/>
    <d v="2023-02-24T00:00:00"/>
    <x v="799"/>
    <s v="Male"/>
    <n v="32"/>
    <s v="Mid Age"/>
    <x v="1"/>
    <n v="4"/>
    <n v="300"/>
    <n v="1200"/>
  </r>
  <r>
    <n v="801"/>
    <d v="2023-08-10T00:00:00"/>
    <x v="800"/>
    <s v="Male"/>
    <n v="21"/>
    <s v="Young Age"/>
    <x v="1"/>
    <n v="4"/>
    <n v="50"/>
    <n v="200"/>
  </r>
  <r>
    <n v="802"/>
    <d v="2023-07-05T00:00:00"/>
    <x v="801"/>
    <s v="Female"/>
    <n v="46"/>
    <s v="Mid Age"/>
    <x v="0"/>
    <n v="1"/>
    <n v="30"/>
    <n v="30"/>
  </r>
  <r>
    <n v="803"/>
    <d v="2023-11-22T00:00:00"/>
    <x v="802"/>
    <s v="Male"/>
    <n v="39"/>
    <s v="Mid Age"/>
    <x v="1"/>
    <n v="4"/>
    <n v="25"/>
    <n v="100"/>
  </r>
  <r>
    <n v="804"/>
    <d v="2023-08-24T00:00:00"/>
    <x v="803"/>
    <s v="Male"/>
    <n v="42"/>
    <s v="Mid Age"/>
    <x v="2"/>
    <n v="1"/>
    <n v="30"/>
    <n v="30"/>
  </r>
  <r>
    <n v="805"/>
    <d v="2023-12-29T00:00:00"/>
    <x v="804"/>
    <s v="Female"/>
    <n v="30"/>
    <s v="Mid Age"/>
    <x v="0"/>
    <n v="3"/>
    <n v="500"/>
    <n v="1500"/>
  </r>
  <r>
    <n v="806"/>
    <d v="2023-03-20T00:00:00"/>
    <x v="805"/>
    <s v="Female"/>
    <n v="35"/>
    <s v="Mid Age"/>
    <x v="0"/>
    <n v="3"/>
    <n v="300"/>
    <n v="900"/>
  </r>
  <r>
    <n v="807"/>
    <d v="2023-08-11T00:00:00"/>
    <x v="806"/>
    <s v="Female"/>
    <n v="50"/>
    <s v="Mid Age"/>
    <x v="2"/>
    <n v="4"/>
    <n v="50"/>
    <n v="200"/>
  </r>
  <r>
    <n v="808"/>
    <d v="2023-04-01T00:00:00"/>
    <x v="807"/>
    <s v="Male"/>
    <n v="33"/>
    <s v="Mid Age"/>
    <x v="0"/>
    <n v="4"/>
    <n v="500"/>
    <n v="2000"/>
  </r>
  <r>
    <n v="809"/>
    <d v="2023-09-25T00:00:00"/>
    <x v="808"/>
    <s v="Female"/>
    <n v="62"/>
    <s v="Mid Age"/>
    <x v="0"/>
    <n v="2"/>
    <n v="50"/>
    <n v="100"/>
  </r>
  <r>
    <n v="810"/>
    <d v="2023-11-30T00:00:00"/>
    <x v="809"/>
    <s v="Male"/>
    <n v="59"/>
    <s v="Mid Age"/>
    <x v="2"/>
    <n v="4"/>
    <n v="25"/>
    <n v="100"/>
  </r>
  <r>
    <n v="811"/>
    <d v="2023-05-19T00:00:00"/>
    <x v="810"/>
    <s v="Male"/>
    <n v="61"/>
    <s v="Mid Age"/>
    <x v="0"/>
    <n v="2"/>
    <n v="25"/>
    <n v="50"/>
  </r>
  <r>
    <n v="812"/>
    <d v="2023-11-12T00:00:00"/>
    <x v="811"/>
    <s v="Male"/>
    <n v="19"/>
    <s v="Young Age"/>
    <x v="2"/>
    <n v="3"/>
    <n v="25"/>
    <n v="75"/>
  </r>
  <r>
    <n v="813"/>
    <d v="2023-10-03T00:00:00"/>
    <x v="812"/>
    <s v="Male"/>
    <n v="52"/>
    <s v="Mid Age"/>
    <x v="2"/>
    <n v="3"/>
    <n v="50"/>
    <n v="150"/>
  </r>
  <r>
    <n v="814"/>
    <d v="2023-09-05T00:00:00"/>
    <x v="813"/>
    <s v="Female"/>
    <n v="59"/>
    <s v="Mid Age"/>
    <x v="1"/>
    <n v="1"/>
    <n v="500"/>
    <n v="500"/>
  </r>
  <r>
    <n v="815"/>
    <d v="2023-08-27T00:00:00"/>
    <x v="814"/>
    <s v="Female"/>
    <n v="51"/>
    <s v="Mid Age"/>
    <x v="1"/>
    <n v="3"/>
    <n v="25"/>
    <n v="75"/>
  </r>
  <r>
    <n v="816"/>
    <d v="2023-08-12T00:00:00"/>
    <x v="815"/>
    <s v="Male"/>
    <n v="47"/>
    <s v="Mid Age"/>
    <x v="0"/>
    <n v="2"/>
    <n v="500"/>
    <n v="1000"/>
  </r>
  <r>
    <n v="817"/>
    <d v="2023-10-31T00:00:00"/>
    <x v="816"/>
    <s v="Male"/>
    <n v="30"/>
    <s v="Mid Age"/>
    <x v="0"/>
    <n v="4"/>
    <n v="50"/>
    <n v="200"/>
  </r>
  <r>
    <n v="818"/>
    <d v="2023-05-18T00:00:00"/>
    <x v="817"/>
    <s v="Male"/>
    <n v="30"/>
    <s v="Mid Age"/>
    <x v="2"/>
    <n v="1"/>
    <n v="500"/>
    <n v="500"/>
  </r>
  <r>
    <n v="819"/>
    <d v="2023-06-15T00:00:00"/>
    <x v="818"/>
    <s v="Female"/>
    <n v="35"/>
    <s v="Mid Age"/>
    <x v="0"/>
    <n v="2"/>
    <n v="50"/>
    <n v="100"/>
  </r>
  <r>
    <n v="820"/>
    <d v="2023-05-06T00:00:00"/>
    <x v="819"/>
    <s v="Male"/>
    <n v="49"/>
    <s v="Mid Age"/>
    <x v="2"/>
    <n v="4"/>
    <n v="50"/>
    <n v="200"/>
  </r>
  <r>
    <n v="821"/>
    <d v="2023-02-14T00:00:00"/>
    <x v="820"/>
    <s v="Male"/>
    <n v="49"/>
    <s v="Mid Age"/>
    <x v="2"/>
    <n v="1"/>
    <n v="300"/>
    <n v="300"/>
  </r>
  <r>
    <n v="822"/>
    <d v="2023-05-23T00:00:00"/>
    <x v="821"/>
    <s v="Female"/>
    <n v="52"/>
    <s v="Mid Age"/>
    <x v="0"/>
    <n v="3"/>
    <n v="50"/>
    <n v="150"/>
  </r>
  <r>
    <n v="823"/>
    <d v="2023-08-19T00:00:00"/>
    <x v="822"/>
    <s v="Female"/>
    <n v="56"/>
    <s v="Mid Age"/>
    <x v="2"/>
    <n v="2"/>
    <n v="50"/>
    <n v="100"/>
  </r>
  <r>
    <n v="824"/>
    <d v="2023-05-05T00:00:00"/>
    <x v="823"/>
    <s v="Male"/>
    <n v="63"/>
    <s v="Mid Age"/>
    <x v="1"/>
    <n v="4"/>
    <n v="30"/>
    <n v="120"/>
  </r>
  <r>
    <n v="825"/>
    <d v="2023-08-26T00:00:00"/>
    <x v="824"/>
    <s v="Female"/>
    <n v="46"/>
    <s v="Mid Age"/>
    <x v="0"/>
    <n v="1"/>
    <n v="25"/>
    <n v="25"/>
  </r>
  <r>
    <n v="826"/>
    <d v="2023-10-19T00:00:00"/>
    <x v="825"/>
    <s v="Female"/>
    <n v="46"/>
    <s v="Mid Age"/>
    <x v="1"/>
    <n v="1"/>
    <n v="300"/>
    <n v="300"/>
  </r>
  <r>
    <n v="827"/>
    <d v="2023-11-09T00:00:00"/>
    <x v="826"/>
    <s v="Male"/>
    <n v="61"/>
    <s v="Mid Age"/>
    <x v="0"/>
    <n v="3"/>
    <n v="300"/>
    <n v="900"/>
  </r>
  <r>
    <n v="828"/>
    <d v="2023-12-09T00:00:00"/>
    <x v="827"/>
    <s v="Female"/>
    <n v="33"/>
    <s v="Mid Age"/>
    <x v="2"/>
    <n v="4"/>
    <n v="300"/>
    <n v="1200"/>
  </r>
  <r>
    <n v="829"/>
    <d v="2023-07-14T00:00:00"/>
    <x v="828"/>
    <s v="Male"/>
    <n v="61"/>
    <s v="Mid Age"/>
    <x v="0"/>
    <n v="3"/>
    <n v="30"/>
    <n v="90"/>
  </r>
  <r>
    <n v="830"/>
    <d v="2023-06-22T00:00:00"/>
    <x v="829"/>
    <s v="Female"/>
    <n v="64"/>
    <s v="Mid Age"/>
    <x v="1"/>
    <n v="3"/>
    <n v="50"/>
    <n v="150"/>
  </r>
  <r>
    <n v="831"/>
    <d v="2023-01-15T00:00:00"/>
    <x v="830"/>
    <s v="Male"/>
    <n v="27"/>
    <s v="Mid Age"/>
    <x v="2"/>
    <n v="4"/>
    <n v="25"/>
    <n v="100"/>
  </r>
  <r>
    <n v="832"/>
    <d v="2023-09-11T00:00:00"/>
    <x v="831"/>
    <s v="Male"/>
    <n v="47"/>
    <s v="Mid Age"/>
    <x v="0"/>
    <n v="4"/>
    <n v="500"/>
    <n v="2000"/>
  </r>
  <r>
    <n v="833"/>
    <d v="2023-06-16T00:00:00"/>
    <x v="832"/>
    <s v="Male"/>
    <n v="42"/>
    <s v="Mid Age"/>
    <x v="0"/>
    <n v="4"/>
    <n v="50"/>
    <n v="200"/>
  </r>
  <r>
    <n v="834"/>
    <d v="2023-04-04T00:00:00"/>
    <x v="833"/>
    <s v="Female"/>
    <n v="56"/>
    <s v="Mid Age"/>
    <x v="0"/>
    <n v="2"/>
    <n v="30"/>
    <n v="60"/>
  </r>
  <r>
    <n v="835"/>
    <d v="2023-09-07T00:00:00"/>
    <x v="834"/>
    <s v="Male"/>
    <n v="37"/>
    <s v="Mid Age"/>
    <x v="1"/>
    <n v="4"/>
    <n v="50"/>
    <n v="200"/>
  </r>
  <r>
    <n v="836"/>
    <d v="2023-04-19T00:00:00"/>
    <x v="835"/>
    <s v="Female"/>
    <n v="22"/>
    <s v="Young Age"/>
    <x v="1"/>
    <n v="1"/>
    <n v="50"/>
    <n v="50"/>
  </r>
  <r>
    <n v="837"/>
    <d v="2023-07-01T00:00:00"/>
    <x v="836"/>
    <s v="Male"/>
    <n v="18"/>
    <s v="Young Age"/>
    <x v="0"/>
    <n v="3"/>
    <n v="30"/>
    <n v="90"/>
  </r>
  <r>
    <n v="838"/>
    <d v="2023-05-13T00:00:00"/>
    <x v="837"/>
    <s v="Male"/>
    <n v="47"/>
    <s v="Mid Age"/>
    <x v="2"/>
    <n v="2"/>
    <n v="300"/>
    <n v="600"/>
  </r>
  <r>
    <n v="839"/>
    <d v="2023-06-24T00:00:00"/>
    <x v="838"/>
    <s v="Female"/>
    <n v="20"/>
    <s v="Young Age"/>
    <x v="2"/>
    <n v="4"/>
    <n v="300"/>
    <n v="1200"/>
  </r>
  <r>
    <n v="840"/>
    <d v="2023-05-24T00:00:00"/>
    <x v="839"/>
    <s v="Male"/>
    <n v="62"/>
    <s v="Mid Age"/>
    <x v="1"/>
    <n v="2"/>
    <n v="25"/>
    <n v="50"/>
  </r>
  <r>
    <n v="841"/>
    <d v="2023-11-02T00:00:00"/>
    <x v="840"/>
    <s v="Male"/>
    <n v="31"/>
    <s v="Mid Age"/>
    <x v="2"/>
    <n v="4"/>
    <n v="25"/>
    <n v="100"/>
  </r>
  <r>
    <n v="842"/>
    <d v="2023-12-26T00:00:00"/>
    <x v="841"/>
    <s v="Female"/>
    <n v="47"/>
    <s v="Mid Age"/>
    <x v="1"/>
    <n v="2"/>
    <n v="300"/>
    <n v="600"/>
  </r>
  <r>
    <n v="843"/>
    <d v="2023-05-22T00:00:00"/>
    <x v="842"/>
    <s v="Male"/>
    <n v="21"/>
    <s v="Young Age"/>
    <x v="0"/>
    <n v="3"/>
    <n v="500"/>
    <n v="1500"/>
  </r>
  <r>
    <n v="844"/>
    <d v="2023-10-12T00:00:00"/>
    <x v="843"/>
    <s v="Male"/>
    <n v="35"/>
    <s v="Mid Age"/>
    <x v="1"/>
    <n v="3"/>
    <n v="50"/>
    <n v="150"/>
  </r>
  <r>
    <n v="845"/>
    <d v="2023-01-06T00:00:00"/>
    <x v="844"/>
    <s v="Male"/>
    <n v="54"/>
    <s v="Mid Age"/>
    <x v="1"/>
    <n v="1"/>
    <n v="500"/>
    <n v="500"/>
  </r>
  <r>
    <n v="846"/>
    <d v="2023-09-22T00:00:00"/>
    <x v="845"/>
    <s v="Male"/>
    <n v="42"/>
    <s v="Mid Age"/>
    <x v="0"/>
    <n v="1"/>
    <n v="50"/>
    <n v="50"/>
  </r>
  <r>
    <n v="847"/>
    <d v="2023-04-08T00:00:00"/>
    <x v="846"/>
    <s v="Female"/>
    <n v="18"/>
    <s v="Young Age"/>
    <x v="2"/>
    <n v="4"/>
    <n v="300"/>
    <n v="1200"/>
  </r>
  <r>
    <n v="848"/>
    <d v="2023-02-13T00:00:00"/>
    <x v="847"/>
    <s v="Female"/>
    <n v="63"/>
    <s v="Mid Age"/>
    <x v="1"/>
    <n v="3"/>
    <n v="25"/>
    <n v="75"/>
  </r>
  <r>
    <n v="849"/>
    <d v="2023-05-04T00:00:00"/>
    <x v="848"/>
    <s v="Male"/>
    <n v="32"/>
    <s v="Mid Age"/>
    <x v="1"/>
    <n v="2"/>
    <n v="25"/>
    <n v="50"/>
  </r>
  <r>
    <n v="850"/>
    <d v="2023-07-28T00:00:00"/>
    <x v="849"/>
    <s v="Female"/>
    <n v="26"/>
    <s v="Mid Age"/>
    <x v="0"/>
    <n v="2"/>
    <n v="500"/>
    <n v="1000"/>
  </r>
  <r>
    <n v="851"/>
    <d v="2023-09-08T00:00:00"/>
    <x v="850"/>
    <s v="Male"/>
    <n v="32"/>
    <s v="Mid Age"/>
    <x v="2"/>
    <n v="2"/>
    <n v="25"/>
    <n v="50"/>
  </r>
  <r>
    <n v="852"/>
    <d v="2023-10-12T00:00:00"/>
    <x v="851"/>
    <s v="Female"/>
    <n v="41"/>
    <s v="Mid Age"/>
    <x v="1"/>
    <n v="1"/>
    <n v="300"/>
    <n v="300"/>
  </r>
  <r>
    <n v="853"/>
    <d v="2023-05-04T00:00:00"/>
    <x v="852"/>
    <s v="Male"/>
    <n v="21"/>
    <s v="Young Age"/>
    <x v="0"/>
    <n v="2"/>
    <n v="500"/>
    <n v="1000"/>
  </r>
  <r>
    <n v="854"/>
    <d v="2023-12-20T00:00:00"/>
    <x v="853"/>
    <s v="Male"/>
    <n v="29"/>
    <s v="Mid Age"/>
    <x v="1"/>
    <n v="1"/>
    <n v="50"/>
    <n v="50"/>
  </r>
  <r>
    <n v="855"/>
    <d v="2023-09-01T00:00:00"/>
    <x v="854"/>
    <s v="Male"/>
    <n v="54"/>
    <s v="Mid Age"/>
    <x v="0"/>
    <n v="1"/>
    <n v="25"/>
    <n v="25"/>
  </r>
  <r>
    <n v="856"/>
    <d v="2023-11-27T00:00:00"/>
    <x v="855"/>
    <s v="Male"/>
    <n v="54"/>
    <s v="Mid Age"/>
    <x v="2"/>
    <n v="4"/>
    <n v="30"/>
    <n v="120"/>
  </r>
  <r>
    <n v="857"/>
    <d v="2023-12-31T00:00:00"/>
    <x v="856"/>
    <s v="Male"/>
    <n v="60"/>
    <s v="Mid Age"/>
    <x v="2"/>
    <n v="2"/>
    <n v="25"/>
    <n v="50"/>
  </r>
  <r>
    <n v="858"/>
    <d v="2023-09-09T00:00:00"/>
    <x v="857"/>
    <s v="Male"/>
    <n v="23"/>
    <s v="Young Age"/>
    <x v="2"/>
    <n v="2"/>
    <n v="50"/>
    <n v="100"/>
  </r>
  <r>
    <n v="859"/>
    <d v="2023-08-18T00:00:00"/>
    <x v="858"/>
    <s v="Female"/>
    <n v="56"/>
    <s v="Mid Age"/>
    <x v="2"/>
    <n v="3"/>
    <n v="500"/>
    <n v="1500"/>
  </r>
  <r>
    <n v="860"/>
    <d v="2023-01-09T00:00:00"/>
    <x v="859"/>
    <s v="Male"/>
    <n v="63"/>
    <s v="Mid Age"/>
    <x v="1"/>
    <n v="4"/>
    <n v="50"/>
    <n v="200"/>
  </r>
  <r>
    <n v="861"/>
    <d v="2023-02-17T00:00:00"/>
    <x v="860"/>
    <s v="Female"/>
    <n v="41"/>
    <s v="Mid Age"/>
    <x v="1"/>
    <n v="3"/>
    <n v="30"/>
    <n v="90"/>
  </r>
  <r>
    <n v="862"/>
    <d v="2023-05-31T00:00:00"/>
    <x v="861"/>
    <s v="Male"/>
    <n v="28"/>
    <s v="Mid Age"/>
    <x v="2"/>
    <n v="4"/>
    <n v="300"/>
    <n v="1200"/>
  </r>
  <r>
    <n v="863"/>
    <d v="2023-04-24T00:00:00"/>
    <x v="862"/>
    <s v="Female"/>
    <n v="30"/>
    <s v="Mid Age"/>
    <x v="2"/>
    <n v="2"/>
    <n v="25"/>
    <n v="50"/>
  </r>
  <r>
    <n v="864"/>
    <d v="2023-07-27T00:00:00"/>
    <x v="863"/>
    <s v="Female"/>
    <n v="51"/>
    <s v="Mid Age"/>
    <x v="2"/>
    <n v="1"/>
    <n v="500"/>
    <n v="500"/>
  </r>
  <r>
    <n v="865"/>
    <d v="2023-12-21T00:00:00"/>
    <x v="864"/>
    <s v="Female"/>
    <n v="42"/>
    <s v="Mid Age"/>
    <x v="1"/>
    <n v="1"/>
    <n v="300"/>
    <n v="300"/>
  </r>
  <r>
    <n v="866"/>
    <d v="2023-05-05T00:00:00"/>
    <x v="865"/>
    <s v="Male"/>
    <n v="24"/>
    <s v="Young Age"/>
    <x v="2"/>
    <n v="1"/>
    <n v="50"/>
    <n v="50"/>
  </r>
  <r>
    <n v="867"/>
    <d v="2023-06-06T00:00:00"/>
    <x v="866"/>
    <s v="Male"/>
    <n v="21"/>
    <s v="Young Age"/>
    <x v="2"/>
    <n v="1"/>
    <n v="500"/>
    <n v="500"/>
  </r>
  <r>
    <n v="868"/>
    <d v="2023-12-06T00:00:00"/>
    <x v="867"/>
    <s v="Female"/>
    <n v="25"/>
    <s v="Young Age"/>
    <x v="2"/>
    <n v="1"/>
    <n v="300"/>
    <n v="300"/>
  </r>
  <r>
    <n v="869"/>
    <d v="2023-10-25T00:00:00"/>
    <x v="868"/>
    <s v="Male"/>
    <n v="37"/>
    <s v="Mid Age"/>
    <x v="0"/>
    <n v="3"/>
    <n v="500"/>
    <n v="1500"/>
  </r>
  <r>
    <n v="870"/>
    <d v="2023-07-08T00:00:00"/>
    <x v="869"/>
    <s v="Female"/>
    <n v="46"/>
    <s v="Mid Age"/>
    <x v="2"/>
    <n v="4"/>
    <n v="30"/>
    <n v="120"/>
  </r>
  <r>
    <n v="871"/>
    <d v="2023-08-31T00:00:00"/>
    <x v="870"/>
    <s v="Male"/>
    <n v="62"/>
    <s v="Mid Age"/>
    <x v="0"/>
    <n v="2"/>
    <n v="30"/>
    <n v="60"/>
  </r>
  <r>
    <n v="872"/>
    <d v="2023-10-11T00:00:00"/>
    <x v="871"/>
    <s v="Female"/>
    <n v="63"/>
    <s v="Mid Age"/>
    <x v="0"/>
    <n v="3"/>
    <n v="25"/>
    <n v="75"/>
  </r>
  <r>
    <n v="873"/>
    <d v="2023-09-29T00:00:00"/>
    <x v="872"/>
    <s v="Female"/>
    <n v="27"/>
    <s v="Mid Age"/>
    <x v="2"/>
    <n v="4"/>
    <n v="25"/>
    <n v="100"/>
  </r>
  <r>
    <n v="874"/>
    <d v="2023-06-26T00:00:00"/>
    <x v="873"/>
    <s v="Male"/>
    <n v="60"/>
    <s v="Mid Age"/>
    <x v="0"/>
    <n v="1"/>
    <n v="30"/>
    <n v="30"/>
  </r>
  <r>
    <n v="875"/>
    <d v="2023-08-06T00:00:00"/>
    <x v="874"/>
    <s v="Female"/>
    <n v="51"/>
    <s v="Mid Age"/>
    <x v="2"/>
    <n v="4"/>
    <n v="500"/>
    <n v="2000"/>
  </r>
  <r>
    <n v="876"/>
    <d v="2023-10-09T00:00:00"/>
    <x v="875"/>
    <s v="Male"/>
    <n v="43"/>
    <s v="Mid Age"/>
    <x v="1"/>
    <n v="4"/>
    <n v="30"/>
    <n v="120"/>
  </r>
  <r>
    <n v="877"/>
    <d v="2023-06-19T00:00:00"/>
    <x v="876"/>
    <s v="Female"/>
    <n v="58"/>
    <s v="Mid Age"/>
    <x v="1"/>
    <n v="1"/>
    <n v="25"/>
    <n v="25"/>
  </r>
  <r>
    <n v="878"/>
    <d v="2023-06-30T00:00:00"/>
    <x v="877"/>
    <s v="Female"/>
    <n v="20"/>
    <s v="Young Age"/>
    <x v="1"/>
    <n v="1"/>
    <n v="30"/>
    <n v="30"/>
  </r>
  <r>
    <n v="879"/>
    <d v="2023-12-26T00:00:00"/>
    <x v="878"/>
    <s v="Male"/>
    <n v="23"/>
    <s v="Young Age"/>
    <x v="1"/>
    <n v="1"/>
    <n v="30"/>
    <n v="30"/>
  </r>
  <r>
    <n v="880"/>
    <d v="2023-08-21T00:00:00"/>
    <x v="879"/>
    <s v="Male"/>
    <n v="22"/>
    <s v="Young Age"/>
    <x v="0"/>
    <n v="2"/>
    <n v="500"/>
    <n v="1000"/>
  </r>
  <r>
    <n v="881"/>
    <d v="2023-05-19T00:00:00"/>
    <x v="880"/>
    <s v="Male"/>
    <n v="22"/>
    <s v="Young Age"/>
    <x v="2"/>
    <n v="1"/>
    <n v="300"/>
    <n v="300"/>
  </r>
  <r>
    <n v="882"/>
    <d v="2023-06-06T00:00:00"/>
    <x v="881"/>
    <s v="Female"/>
    <n v="64"/>
    <s v="Mid Age"/>
    <x v="2"/>
    <n v="2"/>
    <n v="25"/>
    <n v="50"/>
  </r>
  <r>
    <n v="883"/>
    <d v="2023-05-09T00:00:00"/>
    <x v="882"/>
    <s v="Male"/>
    <n v="40"/>
    <s v="Mid Age"/>
    <x v="2"/>
    <n v="1"/>
    <n v="500"/>
    <n v="500"/>
  </r>
  <r>
    <n v="884"/>
    <d v="2023-04-29T00:00:00"/>
    <x v="883"/>
    <s v="Female"/>
    <n v="26"/>
    <s v="Mid Age"/>
    <x v="1"/>
    <n v="2"/>
    <n v="30"/>
    <n v="60"/>
  </r>
  <r>
    <n v="885"/>
    <d v="2023-03-03T00:00:00"/>
    <x v="884"/>
    <s v="Female"/>
    <n v="52"/>
    <s v="Mid Age"/>
    <x v="1"/>
    <n v="4"/>
    <n v="30"/>
    <n v="120"/>
  </r>
  <r>
    <n v="886"/>
    <d v="2023-04-09T00:00:00"/>
    <x v="885"/>
    <s v="Male"/>
    <n v="37"/>
    <s v="Mid Age"/>
    <x v="2"/>
    <n v="3"/>
    <n v="300"/>
    <n v="900"/>
  </r>
  <r>
    <n v="887"/>
    <d v="2023-06-11T00:00:00"/>
    <x v="886"/>
    <s v="Male"/>
    <n v="59"/>
    <s v="Mid Age"/>
    <x v="1"/>
    <n v="4"/>
    <n v="25"/>
    <n v="100"/>
  </r>
  <r>
    <n v="888"/>
    <d v="2023-03-03T00:00:00"/>
    <x v="887"/>
    <s v="Female"/>
    <n v="52"/>
    <s v="Mid Age"/>
    <x v="2"/>
    <n v="4"/>
    <n v="25"/>
    <n v="100"/>
  </r>
  <r>
    <n v="889"/>
    <d v="2023-10-02T00:00:00"/>
    <x v="888"/>
    <s v="Female"/>
    <n v="35"/>
    <s v="Mid Age"/>
    <x v="2"/>
    <n v="1"/>
    <n v="50"/>
    <n v="50"/>
  </r>
  <r>
    <n v="890"/>
    <d v="2023-12-20T00:00:00"/>
    <x v="889"/>
    <s v="Male"/>
    <n v="34"/>
    <s v="Mid Age"/>
    <x v="2"/>
    <n v="2"/>
    <n v="25"/>
    <n v="50"/>
  </r>
  <r>
    <n v="891"/>
    <d v="2023-04-05T00:00:00"/>
    <x v="890"/>
    <s v="Male"/>
    <n v="41"/>
    <s v="Mid Age"/>
    <x v="2"/>
    <n v="3"/>
    <n v="300"/>
    <n v="900"/>
  </r>
  <r>
    <n v="892"/>
    <d v="2023-04-09T00:00:00"/>
    <x v="891"/>
    <s v="Male"/>
    <n v="20"/>
    <s v="Young Age"/>
    <x v="2"/>
    <n v="1"/>
    <n v="50"/>
    <n v="50"/>
  </r>
  <r>
    <n v="893"/>
    <d v="2023-04-21T00:00:00"/>
    <x v="892"/>
    <s v="Male"/>
    <n v="49"/>
    <s v="Mid Age"/>
    <x v="2"/>
    <n v="1"/>
    <n v="50"/>
    <n v="50"/>
  </r>
  <r>
    <n v="894"/>
    <d v="2023-09-05T00:00:00"/>
    <x v="893"/>
    <s v="Male"/>
    <n v="52"/>
    <s v="Mid Age"/>
    <x v="2"/>
    <n v="1"/>
    <n v="30"/>
    <n v="30"/>
  </r>
  <r>
    <n v="895"/>
    <d v="2023-05-22T00:00:00"/>
    <x v="894"/>
    <s v="Female"/>
    <n v="55"/>
    <s v="Mid Age"/>
    <x v="1"/>
    <n v="4"/>
    <n v="30"/>
    <n v="120"/>
  </r>
  <r>
    <n v="896"/>
    <d v="2023-10-29T00:00:00"/>
    <x v="895"/>
    <s v="Female"/>
    <n v="30"/>
    <s v="Mid Age"/>
    <x v="2"/>
    <n v="2"/>
    <n v="25"/>
    <n v="50"/>
  </r>
  <r>
    <n v="897"/>
    <d v="2023-09-26T00:00:00"/>
    <x v="896"/>
    <s v="Female"/>
    <n v="64"/>
    <s v="Mid Age"/>
    <x v="2"/>
    <n v="2"/>
    <n v="50"/>
    <n v="100"/>
  </r>
  <r>
    <n v="898"/>
    <d v="2023-11-02T00:00:00"/>
    <x v="897"/>
    <s v="Female"/>
    <n v="42"/>
    <s v="Mid Age"/>
    <x v="1"/>
    <n v="3"/>
    <n v="30"/>
    <n v="90"/>
  </r>
  <r>
    <n v="899"/>
    <d v="2023-05-25T00:00:00"/>
    <x v="898"/>
    <s v="Male"/>
    <n v="26"/>
    <s v="Mid Age"/>
    <x v="1"/>
    <n v="2"/>
    <n v="300"/>
    <n v="600"/>
  </r>
  <r>
    <n v="900"/>
    <d v="2023-02-21T00:00:00"/>
    <x v="899"/>
    <s v="Male"/>
    <n v="21"/>
    <s v="Young Age"/>
    <x v="1"/>
    <n v="2"/>
    <n v="30"/>
    <n v="60"/>
  </r>
  <r>
    <n v="901"/>
    <d v="2023-04-10T00:00:00"/>
    <x v="900"/>
    <s v="Male"/>
    <n v="31"/>
    <s v="Mid Age"/>
    <x v="2"/>
    <n v="1"/>
    <n v="30"/>
    <n v="30"/>
  </r>
  <r>
    <n v="902"/>
    <d v="2023-06-01T00:00:00"/>
    <x v="901"/>
    <s v="Female"/>
    <n v="54"/>
    <s v="Mid Age"/>
    <x v="0"/>
    <n v="1"/>
    <n v="50"/>
    <n v="50"/>
  </r>
  <r>
    <n v="903"/>
    <d v="2023-04-27T00:00:00"/>
    <x v="902"/>
    <s v="Female"/>
    <n v="51"/>
    <s v="Mid Age"/>
    <x v="0"/>
    <n v="4"/>
    <n v="50"/>
    <n v="200"/>
  </r>
  <r>
    <n v="904"/>
    <d v="2023-07-04T00:00:00"/>
    <x v="903"/>
    <s v="Male"/>
    <n v="28"/>
    <s v="Mid Age"/>
    <x v="1"/>
    <n v="1"/>
    <n v="500"/>
    <n v="500"/>
  </r>
  <r>
    <n v="905"/>
    <d v="2023-04-02T00:00:00"/>
    <x v="904"/>
    <s v="Male"/>
    <n v="58"/>
    <s v="Mid Age"/>
    <x v="0"/>
    <n v="1"/>
    <n v="300"/>
    <n v="300"/>
  </r>
  <r>
    <n v="906"/>
    <d v="2023-06-04T00:00:00"/>
    <x v="905"/>
    <s v="Female"/>
    <n v="20"/>
    <s v="Young Age"/>
    <x v="1"/>
    <n v="1"/>
    <n v="50"/>
    <n v="50"/>
  </r>
  <r>
    <n v="907"/>
    <d v="2023-01-08T00:00:00"/>
    <x v="906"/>
    <s v="Female"/>
    <n v="45"/>
    <s v="Mid Age"/>
    <x v="2"/>
    <n v="1"/>
    <n v="25"/>
    <n v="25"/>
  </r>
  <r>
    <n v="908"/>
    <d v="2023-12-29T00:00:00"/>
    <x v="907"/>
    <s v="Male"/>
    <n v="46"/>
    <s v="Mid Age"/>
    <x v="0"/>
    <n v="4"/>
    <n v="300"/>
    <n v="1200"/>
  </r>
  <r>
    <n v="909"/>
    <d v="2023-10-01T00:00:00"/>
    <x v="908"/>
    <s v="Male"/>
    <n v="26"/>
    <s v="Mid Age"/>
    <x v="2"/>
    <n v="1"/>
    <n v="300"/>
    <n v="300"/>
  </r>
  <r>
    <n v="910"/>
    <d v="2023-03-06T00:00:00"/>
    <x v="909"/>
    <s v="Female"/>
    <n v="20"/>
    <s v="Young Age"/>
    <x v="0"/>
    <n v="3"/>
    <n v="50"/>
    <n v="150"/>
  </r>
  <r>
    <n v="911"/>
    <d v="2023-05-21T00:00:00"/>
    <x v="910"/>
    <s v="Male"/>
    <n v="42"/>
    <s v="Mid Age"/>
    <x v="2"/>
    <n v="3"/>
    <n v="300"/>
    <n v="900"/>
  </r>
  <r>
    <n v="912"/>
    <d v="2023-01-24T00:00:00"/>
    <x v="911"/>
    <s v="Male"/>
    <n v="51"/>
    <s v="Mid Age"/>
    <x v="0"/>
    <n v="3"/>
    <n v="50"/>
    <n v="150"/>
  </r>
  <r>
    <n v="913"/>
    <d v="2023-01-28T00:00:00"/>
    <x v="912"/>
    <s v="Male"/>
    <n v="29"/>
    <s v="Mid Age"/>
    <x v="2"/>
    <n v="3"/>
    <n v="30"/>
    <n v="90"/>
  </r>
  <r>
    <n v="914"/>
    <d v="2023-10-11T00:00:00"/>
    <x v="913"/>
    <s v="Female"/>
    <n v="59"/>
    <s v="Mid Age"/>
    <x v="2"/>
    <n v="1"/>
    <n v="500"/>
    <n v="500"/>
  </r>
  <r>
    <n v="915"/>
    <d v="2023-05-30T00:00:00"/>
    <x v="914"/>
    <s v="Female"/>
    <n v="26"/>
    <s v="Mid Age"/>
    <x v="0"/>
    <n v="3"/>
    <n v="30"/>
    <n v="90"/>
  </r>
  <r>
    <n v="916"/>
    <d v="2023-12-24T00:00:00"/>
    <x v="915"/>
    <s v="Female"/>
    <n v="32"/>
    <s v="Mid Age"/>
    <x v="2"/>
    <n v="1"/>
    <n v="50"/>
    <n v="50"/>
  </r>
  <r>
    <n v="917"/>
    <d v="2023-03-06T00:00:00"/>
    <x v="916"/>
    <s v="Female"/>
    <n v="57"/>
    <s v="Mid Age"/>
    <x v="2"/>
    <n v="4"/>
    <n v="50"/>
    <n v="200"/>
  </r>
  <r>
    <n v="918"/>
    <d v="2023-11-23T00:00:00"/>
    <x v="917"/>
    <s v="Female"/>
    <n v="42"/>
    <s v="Mid Age"/>
    <x v="2"/>
    <n v="3"/>
    <n v="30"/>
    <n v="90"/>
  </r>
  <r>
    <n v="919"/>
    <d v="2023-09-09T00:00:00"/>
    <x v="918"/>
    <s v="Female"/>
    <n v="22"/>
    <s v="Young Age"/>
    <x v="0"/>
    <n v="2"/>
    <n v="25"/>
    <n v="50"/>
  </r>
  <r>
    <n v="920"/>
    <d v="2023-02-22T00:00:00"/>
    <x v="919"/>
    <s v="Female"/>
    <n v="28"/>
    <s v="Mid Age"/>
    <x v="0"/>
    <n v="3"/>
    <n v="25"/>
    <n v="75"/>
  </r>
  <r>
    <n v="921"/>
    <d v="2023-01-07T00:00:00"/>
    <x v="920"/>
    <s v="Male"/>
    <n v="51"/>
    <s v="Mid Age"/>
    <x v="2"/>
    <n v="3"/>
    <n v="25"/>
    <n v="75"/>
  </r>
  <r>
    <n v="922"/>
    <d v="2023-10-21T00:00:00"/>
    <x v="921"/>
    <s v="Male"/>
    <n v="41"/>
    <s v="Mid Age"/>
    <x v="2"/>
    <n v="1"/>
    <n v="50"/>
    <n v="50"/>
  </r>
  <r>
    <n v="923"/>
    <d v="2023-05-26T00:00:00"/>
    <x v="922"/>
    <s v="Male"/>
    <n v="32"/>
    <s v="Mid Age"/>
    <x v="0"/>
    <n v="3"/>
    <n v="300"/>
    <n v="900"/>
  </r>
  <r>
    <n v="924"/>
    <d v="2023-08-29T00:00:00"/>
    <x v="923"/>
    <s v="Male"/>
    <n v="55"/>
    <s v="Mid Age"/>
    <x v="0"/>
    <n v="2"/>
    <n v="50"/>
    <n v="100"/>
  </r>
  <r>
    <n v="925"/>
    <d v="2023-09-03T00:00:00"/>
    <x v="924"/>
    <s v="Male"/>
    <n v="25"/>
    <s v="Young Age"/>
    <x v="2"/>
    <n v="1"/>
    <n v="300"/>
    <n v="300"/>
  </r>
  <r>
    <n v="926"/>
    <d v="2023-08-14T00:00:00"/>
    <x v="925"/>
    <s v="Male"/>
    <n v="22"/>
    <s v="Young Age"/>
    <x v="2"/>
    <n v="1"/>
    <n v="30"/>
    <n v="30"/>
  </r>
  <r>
    <n v="927"/>
    <d v="2023-06-24T00:00:00"/>
    <x v="926"/>
    <s v="Male"/>
    <n v="43"/>
    <s v="Mid Age"/>
    <x v="2"/>
    <n v="4"/>
    <n v="500"/>
    <n v="2000"/>
  </r>
  <r>
    <n v="928"/>
    <d v="2023-04-05T00:00:00"/>
    <x v="927"/>
    <s v="Female"/>
    <n v="35"/>
    <s v="Mid Age"/>
    <x v="1"/>
    <n v="4"/>
    <n v="300"/>
    <n v="1200"/>
  </r>
  <r>
    <n v="929"/>
    <d v="2023-01-27T00:00:00"/>
    <x v="928"/>
    <s v="Female"/>
    <n v="23"/>
    <s v="Young Age"/>
    <x v="0"/>
    <n v="3"/>
    <n v="25"/>
    <n v="75"/>
  </r>
  <r>
    <n v="930"/>
    <d v="2023-05-10T00:00:00"/>
    <x v="929"/>
    <s v="Male"/>
    <n v="54"/>
    <s v="Mid Age"/>
    <x v="1"/>
    <n v="4"/>
    <n v="50"/>
    <n v="200"/>
  </r>
  <r>
    <n v="931"/>
    <d v="2023-09-02T00:00:00"/>
    <x v="930"/>
    <s v="Male"/>
    <n v="30"/>
    <s v="Mid Age"/>
    <x v="0"/>
    <n v="4"/>
    <n v="30"/>
    <n v="120"/>
  </r>
  <r>
    <n v="932"/>
    <d v="2023-02-28T00:00:00"/>
    <x v="931"/>
    <s v="Female"/>
    <n v="45"/>
    <s v="Mid Age"/>
    <x v="0"/>
    <n v="4"/>
    <n v="25"/>
    <n v="100"/>
  </r>
  <r>
    <n v="933"/>
    <d v="2023-02-03T00:00:00"/>
    <x v="932"/>
    <s v="Male"/>
    <n v="22"/>
    <s v="Young Age"/>
    <x v="0"/>
    <n v="1"/>
    <n v="30"/>
    <n v="30"/>
  </r>
  <r>
    <n v="934"/>
    <d v="2023-07-25T00:00:00"/>
    <x v="933"/>
    <s v="Male"/>
    <n v="30"/>
    <s v="Mid Age"/>
    <x v="0"/>
    <n v="1"/>
    <n v="500"/>
    <n v="500"/>
  </r>
  <r>
    <n v="935"/>
    <d v="2023-09-09T00:00:00"/>
    <x v="934"/>
    <s v="Female"/>
    <n v="34"/>
    <s v="Mid Age"/>
    <x v="0"/>
    <n v="1"/>
    <n v="50"/>
    <n v="50"/>
  </r>
  <r>
    <n v="936"/>
    <d v="2023-02-07T00:00:00"/>
    <x v="935"/>
    <s v="Male"/>
    <n v="57"/>
    <s v="Mid Age"/>
    <x v="0"/>
    <n v="4"/>
    <n v="50"/>
    <n v="200"/>
  </r>
  <r>
    <n v="937"/>
    <d v="2023-10-23T00:00:00"/>
    <x v="936"/>
    <s v="Female"/>
    <n v="62"/>
    <s v="Mid Age"/>
    <x v="0"/>
    <n v="1"/>
    <n v="500"/>
    <n v="500"/>
  </r>
  <r>
    <n v="938"/>
    <d v="2023-11-19T00:00:00"/>
    <x v="937"/>
    <s v="Male"/>
    <n v="49"/>
    <s v="Mid Age"/>
    <x v="1"/>
    <n v="4"/>
    <n v="50"/>
    <n v="200"/>
  </r>
  <r>
    <n v="939"/>
    <d v="2023-12-18T00:00:00"/>
    <x v="938"/>
    <s v="Female"/>
    <n v="46"/>
    <s v="Mid Age"/>
    <x v="2"/>
    <n v="1"/>
    <n v="300"/>
    <n v="300"/>
  </r>
  <r>
    <n v="940"/>
    <d v="2023-01-28T00:00:00"/>
    <x v="939"/>
    <s v="Female"/>
    <n v="20"/>
    <s v="Young Age"/>
    <x v="2"/>
    <n v="1"/>
    <n v="30"/>
    <n v="30"/>
  </r>
  <r>
    <n v="941"/>
    <d v="2023-03-19T00:00:00"/>
    <x v="940"/>
    <s v="Female"/>
    <n v="57"/>
    <s v="Mid Age"/>
    <x v="1"/>
    <n v="2"/>
    <n v="25"/>
    <n v="50"/>
  </r>
  <r>
    <n v="942"/>
    <d v="2023-03-18T00:00:00"/>
    <x v="941"/>
    <s v="Male"/>
    <n v="51"/>
    <s v="Mid Age"/>
    <x v="1"/>
    <n v="3"/>
    <n v="500"/>
    <n v="1500"/>
  </r>
  <r>
    <n v="943"/>
    <d v="2023-10-16T00:00:00"/>
    <x v="942"/>
    <s v="Female"/>
    <n v="57"/>
    <s v="Mid Age"/>
    <x v="1"/>
    <n v="4"/>
    <n v="300"/>
    <n v="1200"/>
  </r>
  <r>
    <n v="944"/>
    <d v="2023-06-05T00:00:00"/>
    <x v="943"/>
    <s v="Male"/>
    <n v="44"/>
    <s v="Mid Age"/>
    <x v="1"/>
    <n v="2"/>
    <n v="25"/>
    <n v="50"/>
  </r>
  <r>
    <n v="945"/>
    <d v="2023-02-13T00:00:00"/>
    <x v="944"/>
    <s v="Male"/>
    <n v="30"/>
    <s v="Mid Age"/>
    <x v="0"/>
    <n v="1"/>
    <n v="25"/>
    <n v="25"/>
  </r>
  <r>
    <n v="946"/>
    <d v="2023-05-08T00:00:00"/>
    <x v="945"/>
    <s v="Male"/>
    <n v="62"/>
    <s v="Mid Age"/>
    <x v="2"/>
    <n v="4"/>
    <n v="500"/>
    <n v="2000"/>
  </r>
  <r>
    <n v="947"/>
    <d v="2023-03-02T00:00:00"/>
    <x v="946"/>
    <s v="Male"/>
    <n v="50"/>
    <s v="Mid Age"/>
    <x v="0"/>
    <n v="1"/>
    <n v="300"/>
    <n v="300"/>
  </r>
  <r>
    <n v="948"/>
    <d v="2023-10-13T00:00:00"/>
    <x v="947"/>
    <s v="Female"/>
    <n v="23"/>
    <s v="Young Age"/>
    <x v="2"/>
    <n v="3"/>
    <n v="25"/>
    <n v="75"/>
  </r>
  <r>
    <n v="949"/>
    <d v="2023-08-02T00:00:00"/>
    <x v="948"/>
    <s v="Female"/>
    <n v="41"/>
    <s v="Mid Age"/>
    <x v="2"/>
    <n v="2"/>
    <n v="25"/>
    <n v="50"/>
  </r>
  <r>
    <n v="950"/>
    <d v="2023-11-07T00:00:00"/>
    <x v="949"/>
    <s v="Male"/>
    <n v="36"/>
    <s v="Mid Age"/>
    <x v="1"/>
    <n v="3"/>
    <n v="300"/>
    <n v="900"/>
  </r>
  <r>
    <n v="951"/>
    <d v="2023-11-02T00:00:00"/>
    <x v="950"/>
    <s v="Male"/>
    <n v="33"/>
    <s v="Mid Age"/>
    <x v="0"/>
    <n v="2"/>
    <n v="50"/>
    <n v="100"/>
  </r>
  <r>
    <n v="952"/>
    <d v="2023-11-13T00:00:00"/>
    <x v="951"/>
    <s v="Female"/>
    <n v="57"/>
    <s v="Mid Age"/>
    <x v="1"/>
    <n v="1"/>
    <n v="25"/>
    <n v="25"/>
  </r>
  <r>
    <n v="953"/>
    <d v="2023-04-26T00:00:00"/>
    <x v="952"/>
    <s v="Male"/>
    <n v="45"/>
    <s v="Mid Age"/>
    <x v="0"/>
    <n v="3"/>
    <n v="30"/>
    <n v="90"/>
  </r>
  <r>
    <n v="954"/>
    <d v="2023-09-25T00:00:00"/>
    <x v="953"/>
    <s v="Female"/>
    <n v="50"/>
    <s v="Mid Age"/>
    <x v="2"/>
    <n v="3"/>
    <n v="300"/>
    <n v="900"/>
  </r>
  <r>
    <n v="955"/>
    <d v="2023-07-14T00:00:00"/>
    <x v="954"/>
    <s v="Male"/>
    <n v="58"/>
    <s v="Mid Age"/>
    <x v="1"/>
    <n v="1"/>
    <n v="25"/>
    <n v="25"/>
  </r>
  <r>
    <n v="956"/>
    <d v="2023-08-19T00:00:00"/>
    <x v="955"/>
    <s v="Male"/>
    <n v="30"/>
    <s v="Mid Age"/>
    <x v="1"/>
    <n v="3"/>
    <n v="500"/>
    <n v="1500"/>
  </r>
  <r>
    <n v="957"/>
    <d v="2023-08-15T00:00:00"/>
    <x v="956"/>
    <s v="Female"/>
    <n v="60"/>
    <s v="Mid Age"/>
    <x v="2"/>
    <n v="4"/>
    <n v="30"/>
    <n v="120"/>
  </r>
  <r>
    <n v="958"/>
    <d v="2023-06-02T00:00:00"/>
    <x v="957"/>
    <s v="Male"/>
    <n v="62"/>
    <s v="Mid Age"/>
    <x v="2"/>
    <n v="2"/>
    <n v="25"/>
    <n v="50"/>
  </r>
  <r>
    <n v="959"/>
    <d v="2023-10-29T00:00:00"/>
    <x v="958"/>
    <s v="Female"/>
    <n v="42"/>
    <s v="Mid Age"/>
    <x v="2"/>
    <n v="2"/>
    <n v="30"/>
    <n v="60"/>
  </r>
  <r>
    <n v="960"/>
    <d v="2023-08-08T00:00:00"/>
    <x v="959"/>
    <s v="Male"/>
    <n v="59"/>
    <s v="Mid Age"/>
    <x v="1"/>
    <n v="2"/>
    <n v="30"/>
    <n v="60"/>
  </r>
  <r>
    <n v="961"/>
    <d v="2023-06-06T00:00:00"/>
    <x v="960"/>
    <s v="Male"/>
    <n v="53"/>
    <s v="Mid Age"/>
    <x v="0"/>
    <n v="4"/>
    <n v="50"/>
    <n v="200"/>
  </r>
  <r>
    <n v="962"/>
    <d v="2023-10-19T00:00:00"/>
    <x v="961"/>
    <s v="Male"/>
    <n v="44"/>
    <s v="Mid Age"/>
    <x v="1"/>
    <n v="2"/>
    <n v="30"/>
    <n v="60"/>
  </r>
  <r>
    <n v="963"/>
    <d v="2023-11-14T00:00:00"/>
    <x v="962"/>
    <s v="Female"/>
    <n v="55"/>
    <s v="Mid Age"/>
    <x v="0"/>
    <n v="1"/>
    <n v="50"/>
    <n v="50"/>
  </r>
  <r>
    <n v="964"/>
    <d v="2023-01-31T00:00:00"/>
    <x v="963"/>
    <s v="Male"/>
    <n v="24"/>
    <s v="Young Age"/>
    <x v="1"/>
    <n v="3"/>
    <n v="300"/>
    <n v="900"/>
  </r>
  <r>
    <n v="965"/>
    <d v="2023-11-09T00:00:00"/>
    <x v="964"/>
    <s v="Male"/>
    <n v="22"/>
    <s v="Young Age"/>
    <x v="1"/>
    <n v="4"/>
    <n v="50"/>
    <n v="200"/>
  </r>
  <r>
    <n v="966"/>
    <d v="2023-02-20T00:00:00"/>
    <x v="965"/>
    <s v="Male"/>
    <n v="60"/>
    <s v="Mid Age"/>
    <x v="2"/>
    <n v="2"/>
    <n v="500"/>
    <n v="1000"/>
  </r>
  <r>
    <n v="967"/>
    <d v="2023-04-17T00:00:00"/>
    <x v="966"/>
    <s v="Male"/>
    <n v="62"/>
    <s v="Mid Age"/>
    <x v="0"/>
    <n v="1"/>
    <n v="25"/>
    <n v="25"/>
  </r>
  <r>
    <n v="968"/>
    <d v="2023-11-17T00:00:00"/>
    <x v="967"/>
    <s v="Female"/>
    <n v="48"/>
    <s v="Mid Age"/>
    <x v="1"/>
    <n v="3"/>
    <n v="300"/>
    <n v="900"/>
  </r>
  <r>
    <n v="969"/>
    <d v="2023-04-19T00:00:00"/>
    <x v="968"/>
    <s v="Female"/>
    <n v="40"/>
    <s v="Mid Age"/>
    <x v="1"/>
    <n v="3"/>
    <n v="300"/>
    <n v="900"/>
  </r>
  <r>
    <n v="970"/>
    <d v="2023-05-16T00:00:00"/>
    <x v="969"/>
    <s v="Male"/>
    <n v="59"/>
    <s v="Mid Age"/>
    <x v="2"/>
    <n v="4"/>
    <n v="500"/>
    <n v="2000"/>
  </r>
  <r>
    <n v="971"/>
    <d v="2023-12-05T00:00:00"/>
    <x v="970"/>
    <s v="Female"/>
    <n v="27"/>
    <s v="Mid Age"/>
    <x v="2"/>
    <n v="4"/>
    <n v="50"/>
    <n v="200"/>
  </r>
  <r>
    <n v="972"/>
    <d v="2023-02-11T00:00:00"/>
    <x v="971"/>
    <s v="Male"/>
    <n v="49"/>
    <s v="Mid Age"/>
    <x v="0"/>
    <n v="4"/>
    <n v="25"/>
    <n v="100"/>
  </r>
  <r>
    <n v="973"/>
    <d v="2023-03-22T00:00:00"/>
    <x v="972"/>
    <s v="Male"/>
    <n v="60"/>
    <s v="Mid Age"/>
    <x v="1"/>
    <n v="1"/>
    <n v="50"/>
    <n v="50"/>
  </r>
  <r>
    <n v="974"/>
    <d v="2023-05-03T00:00:00"/>
    <x v="973"/>
    <s v="Male"/>
    <n v="47"/>
    <s v="Mid Age"/>
    <x v="0"/>
    <n v="1"/>
    <n v="30"/>
    <n v="30"/>
  </r>
  <r>
    <n v="975"/>
    <d v="2023-03-30T00:00:00"/>
    <x v="974"/>
    <s v="Female"/>
    <n v="56"/>
    <s v="Mid Age"/>
    <x v="1"/>
    <n v="4"/>
    <n v="50"/>
    <n v="200"/>
  </r>
  <r>
    <n v="976"/>
    <d v="2023-10-10T00:00:00"/>
    <x v="975"/>
    <s v="Female"/>
    <n v="48"/>
    <s v="Mid Age"/>
    <x v="0"/>
    <n v="2"/>
    <n v="300"/>
    <n v="600"/>
  </r>
  <r>
    <n v="977"/>
    <d v="2023-02-08T00:00:00"/>
    <x v="976"/>
    <s v="Female"/>
    <n v="35"/>
    <s v="Mid Age"/>
    <x v="2"/>
    <n v="3"/>
    <n v="25"/>
    <n v="75"/>
  </r>
  <r>
    <n v="978"/>
    <d v="2023-03-22T00:00:00"/>
    <x v="977"/>
    <s v="Female"/>
    <n v="53"/>
    <s v="Mid Age"/>
    <x v="1"/>
    <n v="3"/>
    <n v="50"/>
    <n v="150"/>
  </r>
  <r>
    <n v="979"/>
    <d v="2023-01-02T00:00:00"/>
    <x v="978"/>
    <s v="Female"/>
    <n v="19"/>
    <s v="Young Age"/>
    <x v="0"/>
    <n v="1"/>
    <n v="25"/>
    <n v="25"/>
  </r>
  <r>
    <n v="980"/>
    <d v="2023-07-29T00:00:00"/>
    <x v="979"/>
    <s v="Female"/>
    <n v="31"/>
    <s v="Mid Age"/>
    <x v="2"/>
    <n v="3"/>
    <n v="25"/>
    <n v="75"/>
  </r>
  <r>
    <n v="981"/>
    <d v="2023-08-19T00:00:00"/>
    <x v="980"/>
    <s v="Female"/>
    <n v="30"/>
    <s v="Mid Age"/>
    <x v="2"/>
    <n v="2"/>
    <n v="30"/>
    <n v="60"/>
  </r>
  <r>
    <n v="982"/>
    <d v="2023-12-19T00:00:00"/>
    <x v="981"/>
    <s v="Female"/>
    <n v="46"/>
    <s v="Mid Age"/>
    <x v="0"/>
    <n v="3"/>
    <n v="30"/>
    <n v="90"/>
  </r>
  <r>
    <n v="983"/>
    <d v="2023-11-01T00:00:00"/>
    <x v="982"/>
    <s v="Female"/>
    <n v="29"/>
    <s v="Mid Age"/>
    <x v="1"/>
    <n v="1"/>
    <n v="300"/>
    <n v="300"/>
  </r>
  <r>
    <n v="984"/>
    <d v="2023-08-29T00:00:00"/>
    <x v="983"/>
    <s v="Male"/>
    <n v="56"/>
    <s v="Mid Age"/>
    <x v="1"/>
    <n v="1"/>
    <n v="500"/>
    <n v="500"/>
  </r>
  <r>
    <n v="985"/>
    <d v="2023-05-30T00:00:00"/>
    <x v="984"/>
    <s v="Female"/>
    <n v="19"/>
    <s v="Young Age"/>
    <x v="2"/>
    <n v="2"/>
    <n v="25"/>
    <n v="50"/>
  </r>
  <r>
    <n v="986"/>
    <d v="2023-01-17T00:00:00"/>
    <x v="985"/>
    <s v="Female"/>
    <n v="49"/>
    <s v="Mid Age"/>
    <x v="1"/>
    <n v="2"/>
    <n v="500"/>
    <n v="1000"/>
  </r>
  <r>
    <n v="987"/>
    <d v="2023-04-29T00:00:00"/>
    <x v="986"/>
    <s v="Female"/>
    <n v="30"/>
    <s v="Mid Age"/>
    <x v="1"/>
    <n v="3"/>
    <n v="300"/>
    <n v="900"/>
  </r>
  <r>
    <n v="988"/>
    <d v="2023-05-28T00:00:00"/>
    <x v="987"/>
    <s v="Female"/>
    <n v="63"/>
    <s v="Mid Age"/>
    <x v="1"/>
    <n v="3"/>
    <n v="25"/>
    <n v="75"/>
  </r>
  <r>
    <n v="989"/>
    <d v="2023-12-28T00:00:00"/>
    <x v="988"/>
    <s v="Female"/>
    <n v="44"/>
    <s v="Mid Age"/>
    <x v="2"/>
    <n v="1"/>
    <n v="25"/>
    <n v="25"/>
  </r>
  <r>
    <n v="990"/>
    <d v="2023-05-25T00:00:00"/>
    <x v="989"/>
    <s v="Female"/>
    <n v="58"/>
    <s v="Mid Age"/>
    <x v="0"/>
    <n v="2"/>
    <n v="500"/>
    <n v="1000"/>
  </r>
  <r>
    <n v="991"/>
    <d v="2023-12-26T00:00:00"/>
    <x v="990"/>
    <s v="Female"/>
    <n v="34"/>
    <s v="Mid Age"/>
    <x v="1"/>
    <n v="2"/>
    <n v="50"/>
    <n v="100"/>
  </r>
  <r>
    <n v="992"/>
    <d v="2023-08-21T00:00:00"/>
    <x v="991"/>
    <s v="Female"/>
    <n v="57"/>
    <s v="Mid Age"/>
    <x v="2"/>
    <n v="2"/>
    <n v="30"/>
    <n v="60"/>
  </r>
  <r>
    <n v="993"/>
    <d v="2023-02-06T00:00:00"/>
    <x v="992"/>
    <s v="Female"/>
    <n v="48"/>
    <s v="Mid Age"/>
    <x v="2"/>
    <n v="3"/>
    <n v="50"/>
    <n v="150"/>
  </r>
  <r>
    <n v="994"/>
    <d v="2023-12-18T00:00:00"/>
    <x v="993"/>
    <s v="Female"/>
    <n v="51"/>
    <s v="Mid Age"/>
    <x v="0"/>
    <n v="2"/>
    <n v="500"/>
    <n v="1000"/>
  </r>
  <r>
    <n v="995"/>
    <d v="2023-04-30T00:00:00"/>
    <x v="994"/>
    <s v="Female"/>
    <n v="41"/>
    <s v="Mid Age"/>
    <x v="1"/>
    <n v="1"/>
    <n v="30"/>
    <n v="30"/>
  </r>
  <r>
    <n v="996"/>
    <d v="2023-05-16T00:00:00"/>
    <x v="995"/>
    <s v="Male"/>
    <n v="62"/>
    <s v="Mid Age"/>
    <x v="1"/>
    <n v="1"/>
    <n v="50"/>
    <n v="50"/>
  </r>
  <r>
    <n v="997"/>
    <d v="2023-11-17T00:00:00"/>
    <x v="996"/>
    <s v="Male"/>
    <n v="52"/>
    <s v="Mid Age"/>
    <x v="0"/>
    <n v="3"/>
    <n v="30"/>
    <n v="90"/>
  </r>
  <r>
    <n v="998"/>
    <d v="2023-10-29T00:00:00"/>
    <x v="997"/>
    <s v="Female"/>
    <n v="23"/>
    <s v="Young Age"/>
    <x v="0"/>
    <n v="4"/>
    <n v="25"/>
    <n v="100"/>
  </r>
  <r>
    <n v="999"/>
    <d v="2023-12-05T00:00:00"/>
    <x v="998"/>
    <s v="Female"/>
    <n v="36"/>
    <s v="Mid Age"/>
    <x v="2"/>
    <n v="3"/>
    <n v="50"/>
    <n v="150"/>
  </r>
  <r>
    <n v="1000"/>
    <d v="2023-04-12T00:00:00"/>
    <x v="999"/>
    <s v="Male"/>
    <n v="47"/>
    <s v="Mid Age"/>
    <x v="2"/>
    <n v="4"/>
    <n v="30"/>
    <n v="1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3-11-24T00:00:00"/>
    <x v="0"/>
    <x v="0"/>
    <n v="34"/>
    <x v="0"/>
    <x v="0"/>
    <n v="3"/>
    <x v="0"/>
    <x v="0"/>
  </r>
  <r>
    <n v="2"/>
    <d v="2023-02-27T00:00:00"/>
    <x v="1"/>
    <x v="1"/>
    <n v="26"/>
    <x v="0"/>
    <x v="1"/>
    <n v="2"/>
    <x v="1"/>
    <x v="1"/>
  </r>
  <r>
    <n v="3"/>
    <d v="2023-01-13T00:00:00"/>
    <x v="2"/>
    <x v="0"/>
    <n v="50"/>
    <x v="0"/>
    <x v="2"/>
    <n v="1"/>
    <x v="2"/>
    <x v="2"/>
  </r>
  <r>
    <n v="4"/>
    <d v="2023-05-21T00:00:00"/>
    <x v="3"/>
    <x v="0"/>
    <n v="37"/>
    <x v="0"/>
    <x v="1"/>
    <n v="1"/>
    <x v="1"/>
    <x v="3"/>
  </r>
  <r>
    <n v="5"/>
    <d v="2023-05-06T00:00:00"/>
    <x v="4"/>
    <x v="0"/>
    <n v="30"/>
    <x v="0"/>
    <x v="0"/>
    <n v="2"/>
    <x v="0"/>
    <x v="4"/>
  </r>
  <r>
    <n v="6"/>
    <d v="2023-04-25T00:00:00"/>
    <x v="5"/>
    <x v="1"/>
    <n v="45"/>
    <x v="0"/>
    <x v="0"/>
    <n v="1"/>
    <x v="2"/>
    <x v="2"/>
  </r>
  <r>
    <n v="7"/>
    <d v="2023-03-13T00:00:00"/>
    <x v="6"/>
    <x v="0"/>
    <n v="46"/>
    <x v="0"/>
    <x v="1"/>
    <n v="2"/>
    <x v="3"/>
    <x v="5"/>
  </r>
  <r>
    <n v="8"/>
    <d v="2023-02-22T00:00:00"/>
    <x v="7"/>
    <x v="0"/>
    <n v="30"/>
    <x v="0"/>
    <x v="2"/>
    <n v="4"/>
    <x v="3"/>
    <x v="4"/>
  </r>
  <r>
    <n v="9"/>
    <d v="2023-12-13T00:00:00"/>
    <x v="8"/>
    <x v="0"/>
    <n v="63"/>
    <x v="0"/>
    <x v="2"/>
    <n v="2"/>
    <x v="4"/>
    <x v="6"/>
  </r>
  <r>
    <n v="10"/>
    <d v="2023-10-07T00:00:00"/>
    <x v="9"/>
    <x v="1"/>
    <n v="52"/>
    <x v="0"/>
    <x v="1"/>
    <n v="4"/>
    <x v="0"/>
    <x v="7"/>
  </r>
  <r>
    <n v="11"/>
    <d v="2023-02-14T00:00:00"/>
    <x v="10"/>
    <x v="0"/>
    <n v="23"/>
    <x v="1"/>
    <x v="1"/>
    <n v="2"/>
    <x v="0"/>
    <x v="4"/>
  </r>
  <r>
    <n v="12"/>
    <d v="2023-10-30T00:00:00"/>
    <x v="11"/>
    <x v="0"/>
    <n v="35"/>
    <x v="0"/>
    <x v="0"/>
    <n v="3"/>
    <x v="3"/>
    <x v="8"/>
  </r>
  <r>
    <n v="13"/>
    <d v="2023-08-05T00:00:00"/>
    <x v="12"/>
    <x v="0"/>
    <n v="22"/>
    <x v="1"/>
    <x v="2"/>
    <n v="3"/>
    <x v="1"/>
    <x v="9"/>
  </r>
  <r>
    <n v="14"/>
    <d v="2023-01-17T00:00:00"/>
    <x v="13"/>
    <x v="0"/>
    <n v="64"/>
    <x v="0"/>
    <x v="1"/>
    <n v="4"/>
    <x v="2"/>
    <x v="10"/>
  </r>
  <r>
    <n v="15"/>
    <d v="2023-01-16T00:00:00"/>
    <x v="14"/>
    <x v="1"/>
    <n v="42"/>
    <x v="0"/>
    <x v="2"/>
    <n v="4"/>
    <x v="1"/>
    <x v="11"/>
  </r>
  <r>
    <n v="16"/>
    <d v="2023-02-17T00:00:00"/>
    <x v="15"/>
    <x v="0"/>
    <n v="19"/>
    <x v="1"/>
    <x v="1"/>
    <n v="3"/>
    <x v="1"/>
    <x v="9"/>
  </r>
  <r>
    <n v="17"/>
    <d v="2023-04-22T00:00:00"/>
    <x v="16"/>
    <x v="1"/>
    <n v="27"/>
    <x v="0"/>
    <x v="1"/>
    <n v="4"/>
    <x v="3"/>
    <x v="4"/>
  </r>
  <r>
    <n v="18"/>
    <d v="2023-04-30T00:00:00"/>
    <x v="17"/>
    <x v="1"/>
    <n v="47"/>
    <x v="0"/>
    <x v="2"/>
    <n v="2"/>
    <x v="3"/>
    <x v="5"/>
  </r>
  <r>
    <n v="19"/>
    <d v="2023-09-16T00:00:00"/>
    <x v="18"/>
    <x v="1"/>
    <n v="62"/>
    <x v="0"/>
    <x v="1"/>
    <n v="2"/>
    <x v="3"/>
    <x v="5"/>
  </r>
  <r>
    <n v="20"/>
    <d v="2023-11-05T00:00:00"/>
    <x v="19"/>
    <x v="0"/>
    <n v="22"/>
    <x v="1"/>
    <x v="1"/>
    <n v="3"/>
    <x v="4"/>
    <x v="12"/>
  </r>
  <r>
    <n v="21"/>
    <d v="2023-01-14T00:00:00"/>
    <x v="20"/>
    <x v="1"/>
    <n v="50"/>
    <x v="0"/>
    <x v="0"/>
    <n v="1"/>
    <x v="1"/>
    <x v="3"/>
  </r>
  <r>
    <n v="22"/>
    <d v="2023-10-15T00:00:00"/>
    <x v="21"/>
    <x v="0"/>
    <n v="18"/>
    <x v="1"/>
    <x v="1"/>
    <n v="2"/>
    <x v="0"/>
    <x v="4"/>
  </r>
  <r>
    <n v="23"/>
    <d v="2023-04-12T00:00:00"/>
    <x v="22"/>
    <x v="1"/>
    <n v="35"/>
    <x v="0"/>
    <x v="1"/>
    <n v="4"/>
    <x v="2"/>
    <x v="10"/>
  </r>
  <r>
    <n v="24"/>
    <d v="2023-11-29T00:00:00"/>
    <x v="23"/>
    <x v="1"/>
    <n v="49"/>
    <x v="0"/>
    <x v="1"/>
    <n v="1"/>
    <x v="4"/>
    <x v="13"/>
  </r>
  <r>
    <n v="25"/>
    <d v="2023-12-26T00:00:00"/>
    <x v="24"/>
    <x v="1"/>
    <n v="64"/>
    <x v="0"/>
    <x v="0"/>
    <n v="1"/>
    <x v="0"/>
    <x v="5"/>
  </r>
  <r>
    <n v="26"/>
    <d v="2023-10-07T00:00:00"/>
    <x v="25"/>
    <x v="1"/>
    <n v="28"/>
    <x v="0"/>
    <x v="2"/>
    <n v="2"/>
    <x v="1"/>
    <x v="1"/>
  </r>
  <r>
    <n v="27"/>
    <d v="2023-08-03T00:00:00"/>
    <x v="26"/>
    <x v="1"/>
    <n v="38"/>
    <x v="0"/>
    <x v="0"/>
    <n v="2"/>
    <x v="3"/>
    <x v="5"/>
  </r>
  <r>
    <n v="28"/>
    <d v="2023-04-23T00:00:00"/>
    <x v="27"/>
    <x v="1"/>
    <n v="43"/>
    <x v="0"/>
    <x v="0"/>
    <n v="1"/>
    <x v="1"/>
    <x v="3"/>
  </r>
  <r>
    <n v="29"/>
    <d v="2023-08-18T00:00:00"/>
    <x v="28"/>
    <x v="1"/>
    <n v="42"/>
    <x v="0"/>
    <x v="2"/>
    <n v="1"/>
    <x v="2"/>
    <x v="2"/>
  </r>
  <r>
    <n v="30"/>
    <d v="2023-10-29T00:00:00"/>
    <x v="29"/>
    <x v="1"/>
    <n v="39"/>
    <x v="0"/>
    <x v="0"/>
    <n v="3"/>
    <x v="4"/>
    <x v="12"/>
  </r>
  <r>
    <n v="31"/>
    <d v="2023-05-23T00:00:00"/>
    <x v="30"/>
    <x v="0"/>
    <n v="44"/>
    <x v="0"/>
    <x v="2"/>
    <n v="4"/>
    <x v="4"/>
    <x v="14"/>
  </r>
  <r>
    <n v="32"/>
    <d v="2023-01-04T00:00:00"/>
    <x v="31"/>
    <x v="0"/>
    <n v="30"/>
    <x v="0"/>
    <x v="0"/>
    <n v="3"/>
    <x v="2"/>
    <x v="15"/>
  </r>
  <r>
    <n v="33"/>
    <d v="2023-03-23T00:00:00"/>
    <x v="32"/>
    <x v="1"/>
    <n v="50"/>
    <x v="0"/>
    <x v="2"/>
    <n v="2"/>
    <x v="0"/>
    <x v="4"/>
  </r>
  <r>
    <n v="34"/>
    <d v="2023-12-24T00:00:00"/>
    <x v="33"/>
    <x v="1"/>
    <n v="51"/>
    <x v="0"/>
    <x v="1"/>
    <n v="3"/>
    <x v="0"/>
    <x v="0"/>
  </r>
  <r>
    <n v="35"/>
    <d v="2023-08-05T00:00:00"/>
    <x v="34"/>
    <x v="1"/>
    <n v="58"/>
    <x v="0"/>
    <x v="0"/>
    <n v="3"/>
    <x v="4"/>
    <x v="12"/>
  </r>
  <r>
    <n v="36"/>
    <d v="2023-06-24T00:00:00"/>
    <x v="35"/>
    <x v="0"/>
    <n v="52"/>
    <x v="0"/>
    <x v="0"/>
    <n v="3"/>
    <x v="4"/>
    <x v="12"/>
  </r>
  <r>
    <n v="37"/>
    <d v="2023-05-23T00:00:00"/>
    <x v="36"/>
    <x v="1"/>
    <n v="18"/>
    <x v="1"/>
    <x v="0"/>
    <n v="3"/>
    <x v="3"/>
    <x v="8"/>
  </r>
  <r>
    <n v="38"/>
    <d v="2023-03-21T00:00:00"/>
    <x v="37"/>
    <x v="0"/>
    <n v="38"/>
    <x v="0"/>
    <x v="0"/>
    <n v="4"/>
    <x v="0"/>
    <x v="7"/>
  </r>
  <r>
    <n v="39"/>
    <d v="2023-04-21T00:00:00"/>
    <x v="38"/>
    <x v="0"/>
    <n v="23"/>
    <x v="1"/>
    <x v="1"/>
    <n v="4"/>
    <x v="2"/>
    <x v="10"/>
  </r>
  <r>
    <n v="40"/>
    <d v="2023-06-22T00:00:00"/>
    <x v="39"/>
    <x v="0"/>
    <n v="45"/>
    <x v="0"/>
    <x v="0"/>
    <n v="1"/>
    <x v="0"/>
    <x v="5"/>
  </r>
  <r>
    <n v="41"/>
    <d v="2023-02-22T00:00:00"/>
    <x v="40"/>
    <x v="0"/>
    <n v="34"/>
    <x v="0"/>
    <x v="1"/>
    <n v="2"/>
    <x v="3"/>
    <x v="5"/>
  </r>
  <r>
    <n v="42"/>
    <d v="2023-02-17T00:00:00"/>
    <x v="41"/>
    <x v="0"/>
    <n v="22"/>
    <x v="1"/>
    <x v="1"/>
    <n v="3"/>
    <x v="4"/>
    <x v="12"/>
  </r>
  <r>
    <n v="43"/>
    <d v="2023-07-14T00:00:00"/>
    <x v="42"/>
    <x v="1"/>
    <n v="48"/>
    <x v="0"/>
    <x v="1"/>
    <n v="1"/>
    <x v="4"/>
    <x v="13"/>
  </r>
  <r>
    <n v="44"/>
    <d v="2023-02-19T00:00:00"/>
    <x v="43"/>
    <x v="1"/>
    <n v="22"/>
    <x v="1"/>
    <x v="1"/>
    <n v="1"/>
    <x v="3"/>
    <x v="16"/>
  </r>
  <r>
    <n v="45"/>
    <d v="2023-07-03T00:00:00"/>
    <x v="44"/>
    <x v="1"/>
    <n v="55"/>
    <x v="0"/>
    <x v="2"/>
    <n v="1"/>
    <x v="2"/>
    <x v="2"/>
  </r>
  <r>
    <n v="46"/>
    <d v="2023-06-26T00:00:00"/>
    <x v="45"/>
    <x v="1"/>
    <n v="20"/>
    <x v="1"/>
    <x v="2"/>
    <n v="4"/>
    <x v="4"/>
    <x v="14"/>
  </r>
  <r>
    <n v="47"/>
    <d v="2023-11-06T00:00:00"/>
    <x v="46"/>
    <x v="1"/>
    <n v="40"/>
    <x v="0"/>
    <x v="0"/>
    <n v="3"/>
    <x v="1"/>
    <x v="9"/>
  </r>
  <r>
    <n v="48"/>
    <d v="2023-05-16T00:00:00"/>
    <x v="47"/>
    <x v="0"/>
    <n v="54"/>
    <x v="0"/>
    <x v="2"/>
    <n v="3"/>
    <x v="4"/>
    <x v="12"/>
  </r>
  <r>
    <n v="49"/>
    <d v="2023-01-23T00:00:00"/>
    <x v="48"/>
    <x v="1"/>
    <n v="54"/>
    <x v="0"/>
    <x v="2"/>
    <n v="2"/>
    <x v="1"/>
    <x v="1"/>
  </r>
  <r>
    <n v="50"/>
    <d v="2023-08-24T00:00:00"/>
    <x v="49"/>
    <x v="1"/>
    <n v="27"/>
    <x v="0"/>
    <x v="0"/>
    <n v="3"/>
    <x v="3"/>
    <x v="8"/>
  </r>
  <r>
    <n v="51"/>
    <d v="2023-10-02T00:00:00"/>
    <x v="50"/>
    <x v="0"/>
    <n v="27"/>
    <x v="0"/>
    <x v="0"/>
    <n v="3"/>
    <x v="3"/>
    <x v="8"/>
  </r>
  <r>
    <n v="52"/>
    <d v="2023-03-05T00:00:00"/>
    <x v="51"/>
    <x v="1"/>
    <n v="36"/>
    <x v="0"/>
    <x v="0"/>
    <n v="1"/>
    <x v="4"/>
    <x v="13"/>
  </r>
  <r>
    <n v="53"/>
    <d v="2023-07-13T00:00:00"/>
    <x v="52"/>
    <x v="0"/>
    <n v="34"/>
    <x v="0"/>
    <x v="2"/>
    <n v="2"/>
    <x v="0"/>
    <x v="4"/>
  </r>
  <r>
    <n v="54"/>
    <d v="2023-02-10T00:00:00"/>
    <x v="53"/>
    <x v="1"/>
    <n v="38"/>
    <x v="0"/>
    <x v="2"/>
    <n v="3"/>
    <x v="1"/>
    <x v="9"/>
  </r>
  <r>
    <n v="55"/>
    <d v="2023-10-10T00:00:00"/>
    <x v="54"/>
    <x v="0"/>
    <n v="31"/>
    <x v="0"/>
    <x v="0"/>
    <n v="4"/>
    <x v="2"/>
    <x v="10"/>
  </r>
  <r>
    <n v="56"/>
    <d v="2023-05-31T00:00:00"/>
    <x v="55"/>
    <x v="1"/>
    <n v="26"/>
    <x v="0"/>
    <x v="1"/>
    <n v="3"/>
    <x v="4"/>
    <x v="12"/>
  </r>
  <r>
    <n v="57"/>
    <d v="2023-11-18T00:00:00"/>
    <x v="56"/>
    <x v="1"/>
    <n v="63"/>
    <x v="0"/>
    <x v="0"/>
    <n v="1"/>
    <x v="2"/>
    <x v="2"/>
  </r>
  <r>
    <n v="58"/>
    <d v="2023-11-13T00:00:00"/>
    <x v="57"/>
    <x v="0"/>
    <n v="18"/>
    <x v="1"/>
    <x v="1"/>
    <n v="4"/>
    <x v="4"/>
    <x v="14"/>
  </r>
  <r>
    <n v="59"/>
    <d v="2023-07-05T00:00:00"/>
    <x v="58"/>
    <x v="0"/>
    <n v="62"/>
    <x v="0"/>
    <x v="1"/>
    <n v="1"/>
    <x v="0"/>
    <x v="5"/>
  </r>
  <r>
    <n v="60"/>
    <d v="2023-10-23T00:00:00"/>
    <x v="59"/>
    <x v="0"/>
    <n v="30"/>
    <x v="0"/>
    <x v="0"/>
    <n v="3"/>
    <x v="0"/>
    <x v="0"/>
  </r>
  <r>
    <n v="61"/>
    <d v="2023-04-09T00:00:00"/>
    <x v="60"/>
    <x v="0"/>
    <n v="21"/>
    <x v="1"/>
    <x v="0"/>
    <n v="4"/>
    <x v="0"/>
    <x v="7"/>
  </r>
  <r>
    <n v="62"/>
    <d v="2023-12-27T00:00:00"/>
    <x v="61"/>
    <x v="0"/>
    <n v="18"/>
    <x v="1"/>
    <x v="0"/>
    <n v="2"/>
    <x v="0"/>
    <x v="4"/>
  </r>
  <r>
    <n v="63"/>
    <d v="2023-02-05T00:00:00"/>
    <x v="62"/>
    <x v="0"/>
    <n v="57"/>
    <x v="0"/>
    <x v="2"/>
    <n v="2"/>
    <x v="3"/>
    <x v="5"/>
  </r>
  <r>
    <n v="64"/>
    <d v="2023-01-24T00:00:00"/>
    <x v="63"/>
    <x v="0"/>
    <n v="49"/>
    <x v="0"/>
    <x v="1"/>
    <n v="4"/>
    <x v="3"/>
    <x v="4"/>
  </r>
  <r>
    <n v="65"/>
    <d v="2023-12-05T00:00:00"/>
    <x v="64"/>
    <x v="0"/>
    <n v="51"/>
    <x v="0"/>
    <x v="2"/>
    <n v="4"/>
    <x v="1"/>
    <x v="11"/>
  </r>
  <r>
    <n v="66"/>
    <d v="2023-04-27T00:00:00"/>
    <x v="65"/>
    <x v="1"/>
    <n v="45"/>
    <x v="0"/>
    <x v="2"/>
    <n v="1"/>
    <x v="2"/>
    <x v="2"/>
  </r>
  <r>
    <n v="67"/>
    <d v="2023-05-29T00:00:00"/>
    <x v="66"/>
    <x v="1"/>
    <n v="48"/>
    <x v="0"/>
    <x v="0"/>
    <n v="4"/>
    <x v="4"/>
    <x v="14"/>
  </r>
  <r>
    <n v="68"/>
    <d v="2023-02-10T00:00:00"/>
    <x v="67"/>
    <x v="0"/>
    <n v="25"/>
    <x v="1"/>
    <x v="2"/>
    <n v="1"/>
    <x v="4"/>
    <x v="13"/>
  </r>
  <r>
    <n v="69"/>
    <d v="2023-04-30T00:00:00"/>
    <x v="68"/>
    <x v="1"/>
    <n v="56"/>
    <x v="0"/>
    <x v="0"/>
    <n v="3"/>
    <x v="3"/>
    <x v="8"/>
  </r>
  <r>
    <n v="70"/>
    <d v="2023-02-21T00:00:00"/>
    <x v="69"/>
    <x v="1"/>
    <n v="43"/>
    <x v="0"/>
    <x v="1"/>
    <n v="1"/>
    <x v="4"/>
    <x v="13"/>
  </r>
  <r>
    <n v="71"/>
    <d v="2023-07-14T00:00:00"/>
    <x v="70"/>
    <x v="1"/>
    <n v="51"/>
    <x v="0"/>
    <x v="0"/>
    <n v="4"/>
    <x v="3"/>
    <x v="4"/>
  </r>
  <r>
    <n v="72"/>
    <d v="2023-05-23T00:00:00"/>
    <x v="71"/>
    <x v="1"/>
    <n v="20"/>
    <x v="1"/>
    <x v="2"/>
    <n v="4"/>
    <x v="1"/>
    <x v="11"/>
  </r>
  <r>
    <n v="73"/>
    <d v="2023-08-21T00:00:00"/>
    <x v="72"/>
    <x v="0"/>
    <n v="29"/>
    <x v="0"/>
    <x v="2"/>
    <n v="3"/>
    <x v="2"/>
    <x v="15"/>
  </r>
  <r>
    <n v="74"/>
    <d v="2023-11-22T00:00:00"/>
    <x v="73"/>
    <x v="1"/>
    <n v="18"/>
    <x v="1"/>
    <x v="0"/>
    <n v="4"/>
    <x v="1"/>
    <x v="11"/>
  </r>
  <r>
    <n v="75"/>
    <d v="2023-07-06T00:00:00"/>
    <x v="74"/>
    <x v="0"/>
    <n v="61"/>
    <x v="0"/>
    <x v="0"/>
    <n v="4"/>
    <x v="0"/>
    <x v="7"/>
  </r>
  <r>
    <n v="76"/>
    <d v="2023-03-25T00:00:00"/>
    <x v="75"/>
    <x v="1"/>
    <n v="22"/>
    <x v="1"/>
    <x v="2"/>
    <n v="2"/>
    <x v="0"/>
    <x v="4"/>
  </r>
  <r>
    <n v="77"/>
    <d v="2023-07-09T00:00:00"/>
    <x v="76"/>
    <x v="1"/>
    <n v="47"/>
    <x v="0"/>
    <x v="1"/>
    <n v="2"/>
    <x v="0"/>
    <x v="4"/>
  </r>
  <r>
    <n v="78"/>
    <d v="2023-07-01T00:00:00"/>
    <x v="77"/>
    <x v="1"/>
    <n v="47"/>
    <x v="0"/>
    <x v="1"/>
    <n v="3"/>
    <x v="1"/>
    <x v="9"/>
  </r>
  <r>
    <n v="79"/>
    <d v="2023-04-18T00:00:00"/>
    <x v="78"/>
    <x v="0"/>
    <n v="34"/>
    <x v="0"/>
    <x v="0"/>
    <n v="1"/>
    <x v="4"/>
    <x v="13"/>
  </r>
  <r>
    <n v="80"/>
    <d v="2023-12-10T00:00:00"/>
    <x v="79"/>
    <x v="1"/>
    <n v="64"/>
    <x v="0"/>
    <x v="1"/>
    <n v="2"/>
    <x v="2"/>
    <x v="17"/>
  </r>
  <r>
    <n v="81"/>
    <d v="2023-05-17T00:00:00"/>
    <x v="80"/>
    <x v="0"/>
    <n v="40"/>
    <x v="0"/>
    <x v="2"/>
    <n v="1"/>
    <x v="0"/>
    <x v="5"/>
  </r>
  <r>
    <n v="82"/>
    <d v="2023-12-26T00:00:00"/>
    <x v="81"/>
    <x v="1"/>
    <n v="32"/>
    <x v="0"/>
    <x v="0"/>
    <n v="4"/>
    <x v="0"/>
    <x v="7"/>
  </r>
  <r>
    <n v="83"/>
    <d v="2023-12-16T00:00:00"/>
    <x v="82"/>
    <x v="0"/>
    <n v="54"/>
    <x v="0"/>
    <x v="2"/>
    <n v="2"/>
    <x v="0"/>
    <x v="4"/>
  </r>
  <r>
    <n v="84"/>
    <d v="2023-11-28T00:00:00"/>
    <x v="83"/>
    <x v="1"/>
    <n v="38"/>
    <x v="0"/>
    <x v="2"/>
    <n v="3"/>
    <x v="2"/>
    <x v="15"/>
  </r>
  <r>
    <n v="85"/>
    <d v="2023-02-06T00:00:00"/>
    <x v="84"/>
    <x v="0"/>
    <n v="31"/>
    <x v="0"/>
    <x v="1"/>
    <n v="3"/>
    <x v="0"/>
    <x v="0"/>
  </r>
  <r>
    <n v="86"/>
    <d v="2023-11-08T00:00:00"/>
    <x v="85"/>
    <x v="0"/>
    <n v="19"/>
    <x v="1"/>
    <x v="0"/>
    <n v="3"/>
    <x v="2"/>
    <x v="15"/>
  </r>
  <r>
    <n v="87"/>
    <d v="2023-11-22T00:00:00"/>
    <x v="86"/>
    <x v="1"/>
    <n v="28"/>
    <x v="0"/>
    <x v="0"/>
    <n v="2"/>
    <x v="0"/>
    <x v="4"/>
  </r>
  <r>
    <n v="88"/>
    <d v="2023-03-29T00:00:00"/>
    <x v="87"/>
    <x v="0"/>
    <n v="56"/>
    <x v="0"/>
    <x v="1"/>
    <n v="1"/>
    <x v="1"/>
    <x v="3"/>
  </r>
  <r>
    <n v="89"/>
    <d v="2023-10-01T00:00:00"/>
    <x v="88"/>
    <x v="1"/>
    <n v="55"/>
    <x v="0"/>
    <x v="2"/>
    <n v="4"/>
    <x v="1"/>
    <x v="11"/>
  </r>
  <r>
    <n v="90"/>
    <d v="2023-05-06T00:00:00"/>
    <x v="89"/>
    <x v="1"/>
    <n v="51"/>
    <x v="0"/>
    <x v="2"/>
    <n v="1"/>
    <x v="2"/>
    <x v="2"/>
  </r>
  <r>
    <n v="91"/>
    <d v="2023-03-25T00:00:00"/>
    <x v="90"/>
    <x v="1"/>
    <n v="55"/>
    <x v="0"/>
    <x v="2"/>
    <n v="1"/>
    <x v="1"/>
    <x v="3"/>
  </r>
  <r>
    <n v="92"/>
    <d v="2023-08-25T00:00:00"/>
    <x v="91"/>
    <x v="1"/>
    <n v="51"/>
    <x v="0"/>
    <x v="2"/>
    <n v="4"/>
    <x v="2"/>
    <x v="10"/>
  </r>
  <r>
    <n v="93"/>
    <d v="2023-07-14T00:00:00"/>
    <x v="92"/>
    <x v="1"/>
    <n v="35"/>
    <x v="0"/>
    <x v="0"/>
    <n v="4"/>
    <x v="1"/>
    <x v="11"/>
  </r>
  <r>
    <n v="94"/>
    <d v="2023-05-19T00:00:00"/>
    <x v="93"/>
    <x v="1"/>
    <n v="47"/>
    <x v="0"/>
    <x v="0"/>
    <n v="2"/>
    <x v="1"/>
    <x v="1"/>
  </r>
  <r>
    <n v="95"/>
    <d v="2023-11-24T00:00:00"/>
    <x v="94"/>
    <x v="1"/>
    <n v="32"/>
    <x v="0"/>
    <x v="1"/>
    <n v="2"/>
    <x v="2"/>
    <x v="17"/>
  </r>
  <r>
    <n v="96"/>
    <d v="2023-12-19T00:00:00"/>
    <x v="95"/>
    <x v="1"/>
    <n v="44"/>
    <x v="0"/>
    <x v="1"/>
    <n v="2"/>
    <x v="4"/>
    <x v="6"/>
  </r>
  <r>
    <n v="97"/>
    <d v="2023-10-13T00:00:00"/>
    <x v="96"/>
    <x v="1"/>
    <n v="51"/>
    <x v="0"/>
    <x v="0"/>
    <n v="2"/>
    <x v="1"/>
    <x v="1"/>
  </r>
  <r>
    <n v="98"/>
    <d v="2023-04-23T00:00:00"/>
    <x v="97"/>
    <x v="1"/>
    <n v="55"/>
    <x v="0"/>
    <x v="0"/>
    <n v="2"/>
    <x v="0"/>
    <x v="4"/>
  </r>
  <r>
    <n v="99"/>
    <d v="2023-12-17T00:00:00"/>
    <x v="98"/>
    <x v="1"/>
    <n v="50"/>
    <x v="0"/>
    <x v="2"/>
    <n v="4"/>
    <x v="4"/>
    <x v="14"/>
  </r>
  <r>
    <n v="100"/>
    <d v="2023-06-16T00:00:00"/>
    <x v="99"/>
    <x v="0"/>
    <n v="41"/>
    <x v="0"/>
    <x v="2"/>
    <n v="1"/>
    <x v="2"/>
    <x v="2"/>
  </r>
  <r>
    <n v="101"/>
    <d v="2023-01-29T00:00:00"/>
    <x v="100"/>
    <x v="0"/>
    <n v="32"/>
    <x v="0"/>
    <x v="1"/>
    <n v="2"/>
    <x v="4"/>
    <x v="6"/>
  </r>
  <r>
    <n v="102"/>
    <d v="2023-04-28T00:00:00"/>
    <x v="101"/>
    <x v="1"/>
    <n v="47"/>
    <x v="0"/>
    <x v="0"/>
    <n v="2"/>
    <x v="3"/>
    <x v="5"/>
  </r>
  <r>
    <n v="103"/>
    <d v="2023-01-17T00:00:00"/>
    <x v="102"/>
    <x v="1"/>
    <n v="59"/>
    <x v="0"/>
    <x v="1"/>
    <n v="1"/>
    <x v="3"/>
    <x v="16"/>
  </r>
  <r>
    <n v="104"/>
    <d v="2023-06-11T00:00:00"/>
    <x v="103"/>
    <x v="1"/>
    <n v="34"/>
    <x v="0"/>
    <x v="0"/>
    <n v="2"/>
    <x v="1"/>
    <x v="1"/>
  </r>
  <r>
    <n v="105"/>
    <d v="2023-07-25T00:00:00"/>
    <x v="104"/>
    <x v="1"/>
    <n v="22"/>
    <x v="1"/>
    <x v="2"/>
    <n v="1"/>
    <x v="1"/>
    <x v="3"/>
  </r>
  <r>
    <n v="106"/>
    <d v="2023-05-18T00:00:00"/>
    <x v="105"/>
    <x v="1"/>
    <n v="46"/>
    <x v="0"/>
    <x v="1"/>
    <n v="1"/>
    <x v="0"/>
    <x v="5"/>
  </r>
  <r>
    <n v="107"/>
    <d v="2023-02-03T00:00:00"/>
    <x v="106"/>
    <x v="1"/>
    <n v="21"/>
    <x v="1"/>
    <x v="1"/>
    <n v="4"/>
    <x v="4"/>
    <x v="14"/>
  </r>
  <r>
    <n v="108"/>
    <d v="2023-04-19T00:00:00"/>
    <x v="107"/>
    <x v="1"/>
    <n v="27"/>
    <x v="0"/>
    <x v="0"/>
    <n v="3"/>
    <x v="3"/>
    <x v="8"/>
  </r>
  <r>
    <n v="109"/>
    <d v="2023-10-18T00:00:00"/>
    <x v="108"/>
    <x v="1"/>
    <n v="34"/>
    <x v="0"/>
    <x v="2"/>
    <n v="4"/>
    <x v="1"/>
    <x v="11"/>
  </r>
  <r>
    <n v="110"/>
    <d v="2023-06-11T00:00:00"/>
    <x v="109"/>
    <x v="0"/>
    <n v="27"/>
    <x v="0"/>
    <x v="1"/>
    <n v="3"/>
    <x v="4"/>
    <x v="12"/>
  </r>
  <r>
    <n v="111"/>
    <d v="2023-04-19T00:00:00"/>
    <x v="110"/>
    <x v="1"/>
    <n v="34"/>
    <x v="0"/>
    <x v="2"/>
    <n v="3"/>
    <x v="1"/>
    <x v="9"/>
  </r>
  <r>
    <n v="112"/>
    <d v="2023-12-02T00:00:00"/>
    <x v="111"/>
    <x v="0"/>
    <n v="37"/>
    <x v="0"/>
    <x v="1"/>
    <n v="3"/>
    <x v="1"/>
    <x v="9"/>
  </r>
  <r>
    <n v="113"/>
    <d v="2023-09-13T00:00:00"/>
    <x v="112"/>
    <x v="1"/>
    <n v="41"/>
    <x v="0"/>
    <x v="2"/>
    <n v="2"/>
    <x v="3"/>
    <x v="5"/>
  </r>
  <r>
    <n v="114"/>
    <d v="2023-07-22T00:00:00"/>
    <x v="113"/>
    <x v="1"/>
    <n v="22"/>
    <x v="1"/>
    <x v="0"/>
    <n v="4"/>
    <x v="3"/>
    <x v="4"/>
  </r>
  <r>
    <n v="115"/>
    <d v="2023-11-26T00:00:00"/>
    <x v="114"/>
    <x v="0"/>
    <n v="51"/>
    <x v="0"/>
    <x v="1"/>
    <n v="3"/>
    <x v="1"/>
    <x v="9"/>
  </r>
  <r>
    <n v="116"/>
    <d v="2023-08-23T00:00:00"/>
    <x v="115"/>
    <x v="1"/>
    <n v="23"/>
    <x v="1"/>
    <x v="1"/>
    <n v="1"/>
    <x v="2"/>
    <x v="2"/>
  </r>
  <r>
    <n v="117"/>
    <d v="2023-03-15T00:00:00"/>
    <x v="116"/>
    <x v="0"/>
    <n v="19"/>
    <x v="1"/>
    <x v="2"/>
    <n v="2"/>
    <x v="1"/>
    <x v="1"/>
  </r>
  <r>
    <n v="118"/>
    <d v="2023-05-16T00:00:00"/>
    <x v="117"/>
    <x v="1"/>
    <n v="30"/>
    <x v="0"/>
    <x v="2"/>
    <n v="4"/>
    <x v="1"/>
    <x v="11"/>
  </r>
  <r>
    <n v="119"/>
    <d v="2023-03-13T00:00:00"/>
    <x v="118"/>
    <x v="1"/>
    <n v="60"/>
    <x v="0"/>
    <x v="1"/>
    <n v="3"/>
    <x v="0"/>
    <x v="0"/>
  </r>
  <r>
    <n v="120"/>
    <d v="2023-05-07T00:00:00"/>
    <x v="119"/>
    <x v="0"/>
    <n v="60"/>
    <x v="0"/>
    <x v="0"/>
    <n v="1"/>
    <x v="0"/>
    <x v="5"/>
  </r>
  <r>
    <n v="121"/>
    <d v="2023-10-15T00:00:00"/>
    <x v="120"/>
    <x v="1"/>
    <n v="28"/>
    <x v="0"/>
    <x v="2"/>
    <n v="4"/>
    <x v="0"/>
    <x v="7"/>
  </r>
  <r>
    <n v="122"/>
    <d v="2023-10-03T00:00:00"/>
    <x v="121"/>
    <x v="0"/>
    <n v="64"/>
    <x v="0"/>
    <x v="2"/>
    <n v="4"/>
    <x v="2"/>
    <x v="10"/>
  </r>
  <r>
    <n v="123"/>
    <d v="2023-05-15T00:00:00"/>
    <x v="122"/>
    <x v="1"/>
    <n v="40"/>
    <x v="0"/>
    <x v="2"/>
    <n v="2"/>
    <x v="2"/>
    <x v="17"/>
  </r>
  <r>
    <n v="124"/>
    <d v="2023-10-27T00:00:00"/>
    <x v="123"/>
    <x v="0"/>
    <n v="33"/>
    <x v="0"/>
    <x v="1"/>
    <n v="4"/>
    <x v="1"/>
    <x v="11"/>
  </r>
  <r>
    <n v="125"/>
    <d v="2023-08-08T00:00:00"/>
    <x v="124"/>
    <x v="0"/>
    <n v="48"/>
    <x v="0"/>
    <x v="1"/>
    <n v="2"/>
    <x v="0"/>
    <x v="4"/>
  </r>
  <r>
    <n v="126"/>
    <d v="2023-10-26T00:00:00"/>
    <x v="125"/>
    <x v="1"/>
    <n v="28"/>
    <x v="0"/>
    <x v="1"/>
    <n v="3"/>
    <x v="2"/>
    <x v="15"/>
  </r>
  <r>
    <n v="127"/>
    <d v="2023-07-24T00:00:00"/>
    <x v="126"/>
    <x v="1"/>
    <n v="33"/>
    <x v="0"/>
    <x v="1"/>
    <n v="2"/>
    <x v="3"/>
    <x v="5"/>
  </r>
  <r>
    <n v="128"/>
    <d v="2023-07-05T00:00:00"/>
    <x v="127"/>
    <x v="0"/>
    <n v="25"/>
    <x v="1"/>
    <x v="0"/>
    <n v="1"/>
    <x v="1"/>
    <x v="3"/>
  </r>
  <r>
    <n v="129"/>
    <d v="2023-04-23T00:00:00"/>
    <x v="128"/>
    <x v="1"/>
    <n v="21"/>
    <x v="1"/>
    <x v="0"/>
    <n v="2"/>
    <x v="4"/>
    <x v="6"/>
  </r>
  <r>
    <n v="130"/>
    <d v="2023-03-12T00:00:00"/>
    <x v="129"/>
    <x v="1"/>
    <n v="57"/>
    <x v="0"/>
    <x v="1"/>
    <n v="1"/>
    <x v="1"/>
    <x v="3"/>
  </r>
  <r>
    <n v="131"/>
    <d v="2023-09-18T00:00:00"/>
    <x v="130"/>
    <x v="1"/>
    <n v="21"/>
    <x v="1"/>
    <x v="0"/>
    <n v="2"/>
    <x v="4"/>
    <x v="6"/>
  </r>
  <r>
    <n v="132"/>
    <d v="2023-09-10T00:00:00"/>
    <x v="131"/>
    <x v="0"/>
    <n v="42"/>
    <x v="0"/>
    <x v="2"/>
    <n v="4"/>
    <x v="0"/>
    <x v="7"/>
  </r>
  <r>
    <n v="133"/>
    <d v="2023-02-16T00:00:00"/>
    <x v="132"/>
    <x v="0"/>
    <n v="20"/>
    <x v="1"/>
    <x v="2"/>
    <n v="3"/>
    <x v="4"/>
    <x v="12"/>
  </r>
  <r>
    <n v="134"/>
    <d v="2023-01-25T00:00:00"/>
    <x v="133"/>
    <x v="0"/>
    <n v="49"/>
    <x v="0"/>
    <x v="2"/>
    <n v="1"/>
    <x v="0"/>
    <x v="5"/>
  </r>
  <r>
    <n v="135"/>
    <d v="2023-02-26T00:00:00"/>
    <x v="134"/>
    <x v="0"/>
    <n v="20"/>
    <x v="1"/>
    <x v="1"/>
    <n v="2"/>
    <x v="3"/>
    <x v="5"/>
  </r>
  <r>
    <n v="136"/>
    <d v="2023-03-20T00:00:00"/>
    <x v="135"/>
    <x v="0"/>
    <n v="44"/>
    <x v="0"/>
    <x v="2"/>
    <n v="2"/>
    <x v="4"/>
    <x v="6"/>
  </r>
  <r>
    <n v="137"/>
    <d v="2023-11-18T00:00:00"/>
    <x v="136"/>
    <x v="0"/>
    <n v="46"/>
    <x v="0"/>
    <x v="0"/>
    <n v="2"/>
    <x v="1"/>
    <x v="1"/>
  </r>
  <r>
    <n v="138"/>
    <d v="2023-03-23T00:00:00"/>
    <x v="137"/>
    <x v="0"/>
    <n v="49"/>
    <x v="0"/>
    <x v="1"/>
    <n v="4"/>
    <x v="0"/>
    <x v="7"/>
  </r>
  <r>
    <n v="139"/>
    <d v="2023-12-15T00:00:00"/>
    <x v="138"/>
    <x v="0"/>
    <n v="36"/>
    <x v="0"/>
    <x v="0"/>
    <n v="4"/>
    <x v="1"/>
    <x v="11"/>
  </r>
  <r>
    <n v="140"/>
    <d v="2023-08-05T00:00:00"/>
    <x v="139"/>
    <x v="0"/>
    <n v="38"/>
    <x v="0"/>
    <x v="2"/>
    <n v="1"/>
    <x v="2"/>
    <x v="2"/>
  </r>
  <r>
    <n v="141"/>
    <d v="2023-11-02T00:00:00"/>
    <x v="140"/>
    <x v="1"/>
    <n v="22"/>
    <x v="1"/>
    <x v="2"/>
    <n v="1"/>
    <x v="0"/>
    <x v="5"/>
  </r>
  <r>
    <n v="142"/>
    <d v="2023-02-02T00:00:00"/>
    <x v="141"/>
    <x v="0"/>
    <n v="35"/>
    <x v="0"/>
    <x v="2"/>
    <n v="4"/>
    <x v="4"/>
    <x v="14"/>
  </r>
  <r>
    <n v="143"/>
    <d v="2023-07-17T00:00:00"/>
    <x v="142"/>
    <x v="1"/>
    <n v="45"/>
    <x v="0"/>
    <x v="1"/>
    <n v="1"/>
    <x v="0"/>
    <x v="5"/>
  </r>
  <r>
    <n v="144"/>
    <d v="2023-07-15T00:00:00"/>
    <x v="143"/>
    <x v="1"/>
    <n v="59"/>
    <x v="0"/>
    <x v="0"/>
    <n v="3"/>
    <x v="1"/>
    <x v="9"/>
  </r>
  <r>
    <n v="145"/>
    <d v="2023-11-02T00:00:00"/>
    <x v="144"/>
    <x v="1"/>
    <n v="39"/>
    <x v="0"/>
    <x v="1"/>
    <n v="3"/>
    <x v="3"/>
    <x v="8"/>
  </r>
  <r>
    <n v="146"/>
    <d v="2023-08-28T00:00:00"/>
    <x v="145"/>
    <x v="0"/>
    <n v="38"/>
    <x v="0"/>
    <x v="1"/>
    <n v="4"/>
    <x v="0"/>
    <x v="7"/>
  </r>
  <r>
    <n v="147"/>
    <d v="2023-09-28T00:00:00"/>
    <x v="146"/>
    <x v="0"/>
    <n v="23"/>
    <x v="1"/>
    <x v="2"/>
    <n v="1"/>
    <x v="4"/>
    <x v="13"/>
  </r>
  <r>
    <n v="148"/>
    <d v="2023-05-09T00:00:00"/>
    <x v="147"/>
    <x v="0"/>
    <n v="18"/>
    <x v="1"/>
    <x v="1"/>
    <n v="2"/>
    <x v="2"/>
    <x v="17"/>
  </r>
  <r>
    <n v="149"/>
    <d v="2023-10-11T00:00:00"/>
    <x v="148"/>
    <x v="0"/>
    <n v="22"/>
    <x v="1"/>
    <x v="1"/>
    <n v="3"/>
    <x v="3"/>
    <x v="8"/>
  </r>
  <r>
    <n v="150"/>
    <d v="2023-01-06T00:00:00"/>
    <x v="149"/>
    <x v="1"/>
    <n v="58"/>
    <x v="0"/>
    <x v="2"/>
    <n v="4"/>
    <x v="2"/>
    <x v="10"/>
  </r>
  <r>
    <n v="151"/>
    <d v="2023-12-15T00:00:00"/>
    <x v="150"/>
    <x v="0"/>
    <n v="29"/>
    <x v="0"/>
    <x v="1"/>
    <n v="1"/>
    <x v="0"/>
    <x v="5"/>
  </r>
  <r>
    <n v="152"/>
    <d v="2023-02-28T00:00:00"/>
    <x v="151"/>
    <x v="0"/>
    <n v="43"/>
    <x v="0"/>
    <x v="2"/>
    <n v="4"/>
    <x v="1"/>
    <x v="11"/>
  </r>
  <r>
    <n v="153"/>
    <d v="2023-12-16T00:00:00"/>
    <x v="152"/>
    <x v="0"/>
    <n v="63"/>
    <x v="0"/>
    <x v="2"/>
    <n v="2"/>
    <x v="1"/>
    <x v="1"/>
  </r>
  <r>
    <n v="154"/>
    <d v="2023-10-02T00:00:00"/>
    <x v="153"/>
    <x v="0"/>
    <n v="51"/>
    <x v="0"/>
    <x v="2"/>
    <n v="3"/>
    <x v="4"/>
    <x v="12"/>
  </r>
  <r>
    <n v="155"/>
    <d v="2023-05-17T00:00:00"/>
    <x v="154"/>
    <x v="0"/>
    <n v="31"/>
    <x v="0"/>
    <x v="2"/>
    <n v="4"/>
    <x v="1"/>
    <x v="11"/>
  </r>
  <r>
    <n v="156"/>
    <d v="2023-11-25T00:00:00"/>
    <x v="155"/>
    <x v="1"/>
    <n v="43"/>
    <x v="0"/>
    <x v="1"/>
    <n v="4"/>
    <x v="3"/>
    <x v="4"/>
  </r>
  <r>
    <n v="157"/>
    <d v="2023-06-24T00:00:00"/>
    <x v="156"/>
    <x v="0"/>
    <n v="62"/>
    <x v="0"/>
    <x v="2"/>
    <n v="4"/>
    <x v="1"/>
    <x v="11"/>
  </r>
  <r>
    <n v="158"/>
    <d v="2023-02-27T00:00:00"/>
    <x v="157"/>
    <x v="1"/>
    <n v="44"/>
    <x v="0"/>
    <x v="2"/>
    <n v="2"/>
    <x v="4"/>
    <x v="6"/>
  </r>
  <r>
    <n v="159"/>
    <d v="2023-05-31T00:00:00"/>
    <x v="158"/>
    <x v="0"/>
    <n v="26"/>
    <x v="0"/>
    <x v="1"/>
    <n v="4"/>
    <x v="0"/>
    <x v="7"/>
  </r>
  <r>
    <n v="160"/>
    <d v="2023-08-11T00:00:00"/>
    <x v="159"/>
    <x v="1"/>
    <n v="43"/>
    <x v="0"/>
    <x v="1"/>
    <n v="2"/>
    <x v="0"/>
    <x v="4"/>
  </r>
  <r>
    <n v="161"/>
    <d v="2023-03-22T00:00:00"/>
    <x v="160"/>
    <x v="0"/>
    <n v="64"/>
    <x v="0"/>
    <x v="0"/>
    <n v="2"/>
    <x v="1"/>
    <x v="1"/>
  </r>
  <r>
    <n v="162"/>
    <d v="2023-08-21T00:00:00"/>
    <x v="161"/>
    <x v="0"/>
    <n v="39"/>
    <x v="0"/>
    <x v="1"/>
    <n v="2"/>
    <x v="2"/>
    <x v="17"/>
  </r>
  <r>
    <n v="163"/>
    <d v="2023-01-02T00:00:00"/>
    <x v="162"/>
    <x v="1"/>
    <n v="64"/>
    <x v="0"/>
    <x v="1"/>
    <n v="3"/>
    <x v="0"/>
    <x v="0"/>
  </r>
  <r>
    <n v="164"/>
    <d v="2023-05-15T00:00:00"/>
    <x v="163"/>
    <x v="1"/>
    <n v="47"/>
    <x v="0"/>
    <x v="0"/>
    <n v="3"/>
    <x v="1"/>
    <x v="9"/>
  </r>
  <r>
    <n v="165"/>
    <d v="2023-09-14T00:00:00"/>
    <x v="164"/>
    <x v="1"/>
    <n v="60"/>
    <x v="0"/>
    <x v="1"/>
    <n v="4"/>
    <x v="4"/>
    <x v="14"/>
  </r>
  <r>
    <n v="166"/>
    <d v="2023-04-02T00:00:00"/>
    <x v="165"/>
    <x v="0"/>
    <n v="34"/>
    <x v="0"/>
    <x v="1"/>
    <n v="4"/>
    <x v="1"/>
    <x v="11"/>
  </r>
  <r>
    <n v="167"/>
    <d v="2023-09-17T00:00:00"/>
    <x v="166"/>
    <x v="1"/>
    <n v="43"/>
    <x v="0"/>
    <x v="1"/>
    <n v="3"/>
    <x v="0"/>
    <x v="0"/>
  </r>
  <r>
    <n v="168"/>
    <d v="2023-02-24T00:00:00"/>
    <x v="167"/>
    <x v="0"/>
    <n v="53"/>
    <x v="0"/>
    <x v="1"/>
    <n v="1"/>
    <x v="4"/>
    <x v="13"/>
  </r>
  <r>
    <n v="169"/>
    <d v="2023-11-17T00:00:00"/>
    <x v="168"/>
    <x v="0"/>
    <n v="18"/>
    <x v="1"/>
    <x v="0"/>
    <n v="3"/>
    <x v="1"/>
    <x v="9"/>
  </r>
  <r>
    <n v="170"/>
    <d v="2023-06-02T00:00:00"/>
    <x v="169"/>
    <x v="1"/>
    <n v="25"/>
    <x v="1"/>
    <x v="1"/>
    <n v="2"/>
    <x v="3"/>
    <x v="5"/>
  </r>
  <r>
    <n v="171"/>
    <d v="2023-11-24T00:00:00"/>
    <x v="170"/>
    <x v="1"/>
    <n v="52"/>
    <x v="0"/>
    <x v="1"/>
    <n v="3"/>
    <x v="4"/>
    <x v="12"/>
  </r>
  <r>
    <n v="172"/>
    <d v="2023-09-17T00:00:00"/>
    <x v="171"/>
    <x v="0"/>
    <n v="32"/>
    <x v="0"/>
    <x v="0"/>
    <n v="2"/>
    <x v="3"/>
    <x v="5"/>
  </r>
  <r>
    <n v="173"/>
    <d v="2023-11-08T00:00:00"/>
    <x v="172"/>
    <x v="0"/>
    <n v="64"/>
    <x v="0"/>
    <x v="2"/>
    <n v="4"/>
    <x v="2"/>
    <x v="10"/>
  </r>
  <r>
    <n v="174"/>
    <d v="2023-04-12T00:00:00"/>
    <x v="173"/>
    <x v="1"/>
    <n v="39"/>
    <x v="0"/>
    <x v="0"/>
    <n v="1"/>
    <x v="4"/>
    <x v="13"/>
  </r>
  <r>
    <n v="175"/>
    <d v="2023-03-20T00:00:00"/>
    <x v="174"/>
    <x v="1"/>
    <n v="31"/>
    <x v="0"/>
    <x v="2"/>
    <n v="4"/>
    <x v="3"/>
    <x v="4"/>
  </r>
  <r>
    <n v="176"/>
    <d v="2023-07-11T00:00:00"/>
    <x v="175"/>
    <x v="1"/>
    <n v="43"/>
    <x v="0"/>
    <x v="0"/>
    <n v="2"/>
    <x v="0"/>
    <x v="4"/>
  </r>
  <r>
    <n v="177"/>
    <d v="2023-03-24T00:00:00"/>
    <x v="176"/>
    <x v="0"/>
    <n v="45"/>
    <x v="0"/>
    <x v="0"/>
    <n v="2"/>
    <x v="0"/>
    <x v="4"/>
  </r>
  <r>
    <n v="178"/>
    <d v="2023-10-04T00:00:00"/>
    <x v="177"/>
    <x v="0"/>
    <n v="40"/>
    <x v="0"/>
    <x v="1"/>
    <n v="2"/>
    <x v="2"/>
    <x v="17"/>
  </r>
  <r>
    <n v="179"/>
    <d v="2023-09-29T00:00:00"/>
    <x v="178"/>
    <x v="0"/>
    <n v="31"/>
    <x v="0"/>
    <x v="2"/>
    <n v="1"/>
    <x v="4"/>
    <x v="13"/>
  </r>
  <r>
    <n v="180"/>
    <d v="2023-01-01T00:00:00"/>
    <x v="179"/>
    <x v="0"/>
    <n v="41"/>
    <x v="0"/>
    <x v="1"/>
    <n v="3"/>
    <x v="4"/>
    <x v="12"/>
  </r>
  <r>
    <n v="181"/>
    <d v="2023-11-03T00:00:00"/>
    <x v="180"/>
    <x v="0"/>
    <n v="19"/>
    <x v="1"/>
    <x v="2"/>
    <n v="4"/>
    <x v="4"/>
    <x v="14"/>
  </r>
  <r>
    <n v="182"/>
    <d v="2023-06-15T00:00:00"/>
    <x v="181"/>
    <x v="0"/>
    <n v="62"/>
    <x v="0"/>
    <x v="0"/>
    <n v="4"/>
    <x v="2"/>
    <x v="10"/>
  </r>
  <r>
    <n v="183"/>
    <d v="2023-09-08T00:00:00"/>
    <x v="182"/>
    <x v="1"/>
    <n v="43"/>
    <x v="0"/>
    <x v="0"/>
    <n v="3"/>
    <x v="4"/>
    <x v="12"/>
  </r>
  <r>
    <n v="184"/>
    <d v="2023-01-10T00:00:00"/>
    <x v="183"/>
    <x v="0"/>
    <n v="31"/>
    <x v="0"/>
    <x v="2"/>
    <n v="4"/>
    <x v="0"/>
    <x v="7"/>
  </r>
  <r>
    <n v="185"/>
    <d v="2023-02-27T00:00:00"/>
    <x v="184"/>
    <x v="0"/>
    <n v="24"/>
    <x v="1"/>
    <x v="1"/>
    <n v="1"/>
    <x v="3"/>
    <x v="16"/>
  </r>
  <r>
    <n v="186"/>
    <d v="2023-07-05T00:00:00"/>
    <x v="185"/>
    <x v="0"/>
    <n v="20"/>
    <x v="1"/>
    <x v="1"/>
    <n v="4"/>
    <x v="0"/>
    <x v="7"/>
  </r>
  <r>
    <n v="187"/>
    <d v="2023-06-07T00:00:00"/>
    <x v="186"/>
    <x v="1"/>
    <n v="64"/>
    <x v="0"/>
    <x v="1"/>
    <n v="2"/>
    <x v="0"/>
    <x v="4"/>
  </r>
  <r>
    <n v="188"/>
    <d v="2023-05-03T00:00:00"/>
    <x v="187"/>
    <x v="0"/>
    <n v="40"/>
    <x v="0"/>
    <x v="1"/>
    <n v="3"/>
    <x v="3"/>
    <x v="8"/>
  </r>
  <r>
    <n v="189"/>
    <d v="2023-01-30T00:00:00"/>
    <x v="188"/>
    <x v="0"/>
    <n v="63"/>
    <x v="0"/>
    <x v="0"/>
    <n v="1"/>
    <x v="0"/>
    <x v="5"/>
  </r>
  <r>
    <n v="190"/>
    <d v="2023-05-04T00:00:00"/>
    <x v="189"/>
    <x v="1"/>
    <n v="60"/>
    <x v="0"/>
    <x v="0"/>
    <n v="3"/>
    <x v="2"/>
    <x v="15"/>
  </r>
  <r>
    <n v="191"/>
    <d v="2023-10-18T00:00:00"/>
    <x v="190"/>
    <x v="0"/>
    <n v="64"/>
    <x v="0"/>
    <x v="0"/>
    <n v="1"/>
    <x v="3"/>
    <x v="16"/>
  </r>
  <r>
    <n v="192"/>
    <d v="2023-02-10T00:00:00"/>
    <x v="191"/>
    <x v="0"/>
    <n v="62"/>
    <x v="0"/>
    <x v="0"/>
    <n v="2"/>
    <x v="0"/>
    <x v="4"/>
  </r>
  <r>
    <n v="193"/>
    <d v="2023-02-13T00:00:00"/>
    <x v="192"/>
    <x v="0"/>
    <n v="35"/>
    <x v="0"/>
    <x v="0"/>
    <n v="3"/>
    <x v="1"/>
    <x v="9"/>
  </r>
  <r>
    <n v="194"/>
    <d v="2023-09-06T00:00:00"/>
    <x v="193"/>
    <x v="0"/>
    <n v="55"/>
    <x v="0"/>
    <x v="1"/>
    <n v="4"/>
    <x v="0"/>
    <x v="7"/>
  </r>
  <r>
    <n v="195"/>
    <d v="2023-02-05T00:00:00"/>
    <x v="194"/>
    <x v="0"/>
    <n v="52"/>
    <x v="0"/>
    <x v="1"/>
    <n v="1"/>
    <x v="2"/>
    <x v="2"/>
  </r>
  <r>
    <n v="196"/>
    <d v="2023-09-30T00:00:00"/>
    <x v="195"/>
    <x v="1"/>
    <n v="32"/>
    <x v="0"/>
    <x v="1"/>
    <n v="3"/>
    <x v="4"/>
    <x v="12"/>
  </r>
  <r>
    <n v="197"/>
    <d v="2023-03-06T00:00:00"/>
    <x v="196"/>
    <x v="1"/>
    <n v="42"/>
    <x v="0"/>
    <x v="1"/>
    <n v="4"/>
    <x v="0"/>
    <x v="7"/>
  </r>
  <r>
    <n v="198"/>
    <d v="2023-03-07T00:00:00"/>
    <x v="197"/>
    <x v="1"/>
    <n v="54"/>
    <x v="0"/>
    <x v="0"/>
    <n v="3"/>
    <x v="4"/>
    <x v="12"/>
  </r>
  <r>
    <n v="199"/>
    <d v="2023-12-04T00:00:00"/>
    <x v="198"/>
    <x v="0"/>
    <n v="45"/>
    <x v="0"/>
    <x v="0"/>
    <n v="3"/>
    <x v="1"/>
    <x v="9"/>
  </r>
  <r>
    <n v="200"/>
    <d v="2023-09-01T00:00:00"/>
    <x v="199"/>
    <x v="0"/>
    <n v="27"/>
    <x v="0"/>
    <x v="0"/>
    <n v="3"/>
    <x v="0"/>
    <x v="0"/>
  </r>
  <r>
    <n v="201"/>
    <d v="2023-10-09T00:00:00"/>
    <x v="200"/>
    <x v="0"/>
    <n v="56"/>
    <x v="0"/>
    <x v="2"/>
    <n v="1"/>
    <x v="3"/>
    <x v="16"/>
  </r>
  <r>
    <n v="202"/>
    <d v="2023-03-26T00:00:00"/>
    <x v="201"/>
    <x v="1"/>
    <n v="34"/>
    <x v="0"/>
    <x v="1"/>
    <n v="4"/>
    <x v="4"/>
    <x v="14"/>
  </r>
  <r>
    <n v="203"/>
    <d v="2023-05-16T00:00:00"/>
    <x v="202"/>
    <x v="0"/>
    <n v="56"/>
    <x v="0"/>
    <x v="1"/>
    <n v="2"/>
    <x v="1"/>
    <x v="1"/>
  </r>
  <r>
    <n v="204"/>
    <d v="2023-09-28T00:00:00"/>
    <x v="203"/>
    <x v="0"/>
    <n v="39"/>
    <x v="0"/>
    <x v="0"/>
    <n v="1"/>
    <x v="3"/>
    <x v="16"/>
  </r>
  <r>
    <n v="205"/>
    <d v="2023-11-07T00:00:00"/>
    <x v="204"/>
    <x v="1"/>
    <n v="43"/>
    <x v="0"/>
    <x v="1"/>
    <n v="1"/>
    <x v="3"/>
    <x v="16"/>
  </r>
  <r>
    <n v="206"/>
    <d v="2023-08-05T00:00:00"/>
    <x v="205"/>
    <x v="0"/>
    <n v="61"/>
    <x v="0"/>
    <x v="1"/>
    <n v="1"/>
    <x v="3"/>
    <x v="16"/>
  </r>
  <r>
    <n v="207"/>
    <d v="2023-04-19T00:00:00"/>
    <x v="206"/>
    <x v="1"/>
    <n v="42"/>
    <x v="0"/>
    <x v="0"/>
    <n v="2"/>
    <x v="3"/>
    <x v="5"/>
  </r>
  <r>
    <n v="208"/>
    <d v="2023-10-04T00:00:00"/>
    <x v="207"/>
    <x v="1"/>
    <n v="34"/>
    <x v="0"/>
    <x v="2"/>
    <n v="4"/>
    <x v="0"/>
    <x v="7"/>
  </r>
  <r>
    <n v="209"/>
    <d v="2023-12-20T00:00:00"/>
    <x v="208"/>
    <x v="1"/>
    <n v="30"/>
    <x v="0"/>
    <x v="2"/>
    <n v="4"/>
    <x v="0"/>
    <x v="7"/>
  </r>
  <r>
    <n v="210"/>
    <d v="2023-04-13T00:00:00"/>
    <x v="209"/>
    <x v="0"/>
    <n v="37"/>
    <x v="0"/>
    <x v="2"/>
    <n v="4"/>
    <x v="0"/>
    <x v="7"/>
  </r>
  <r>
    <n v="211"/>
    <d v="2024-01-01T00:00:00"/>
    <x v="210"/>
    <x v="0"/>
    <n v="42"/>
    <x v="0"/>
    <x v="0"/>
    <n v="3"/>
    <x v="1"/>
    <x v="9"/>
  </r>
  <r>
    <n v="212"/>
    <d v="2023-06-09T00:00:00"/>
    <x v="211"/>
    <x v="0"/>
    <n v="21"/>
    <x v="1"/>
    <x v="1"/>
    <n v="3"/>
    <x v="1"/>
    <x v="9"/>
  </r>
  <r>
    <n v="213"/>
    <d v="2023-07-24T00:00:00"/>
    <x v="212"/>
    <x v="0"/>
    <n v="27"/>
    <x v="0"/>
    <x v="0"/>
    <n v="3"/>
    <x v="1"/>
    <x v="9"/>
  </r>
  <r>
    <n v="214"/>
    <d v="2023-12-10T00:00:00"/>
    <x v="213"/>
    <x v="0"/>
    <n v="20"/>
    <x v="1"/>
    <x v="0"/>
    <n v="2"/>
    <x v="2"/>
    <x v="17"/>
  </r>
  <r>
    <n v="215"/>
    <d v="2023-11-29T00:00:00"/>
    <x v="214"/>
    <x v="0"/>
    <n v="58"/>
    <x v="0"/>
    <x v="1"/>
    <n v="3"/>
    <x v="1"/>
    <x v="9"/>
  </r>
  <r>
    <n v="216"/>
    <d v="2023-07-11T00:00:00"/>
    <x v="215"/>
    <x v="0"/>
    <n v="62"/>
    <x v="0"/>
    <x v="2"/>
    <n v="2"/>
    <x v="0"/>
    <x v="4"/>
  </r>
  <r>
    <n v="217"/>
    <d v="2023-08-13T00:00:00"/>
    <x v="216"/>
    <x v="1"/>
    <n v="35"/>
    <x v="0"/>
    <x v="2"/>
    <n v="4"/>
    <x v="0"/>
    <x v="7"/>
  </r>
  <r>
    <n v="218"/>
    <d v="2023-09-22T00:00:00"/>
    <x v="217"/>
    <x v="0"/>
    <n v="64"/>
    <x v="0"/>
    <x v="0"/>
    <n v="3"/>
    <x v="2"/>
    <x v="15"/>
  </r>
  <r>
    <n v="219"/>
    <d v="2023-08-20T00:00:00"/>
    <x v="218"/>
    <x v="1"/>
    <n v="53"/>
    <x v="0"/>
    <x v="2"/>
    <n v="3"/>
    <x v="2"/>
    <x v="15"/>
  </r>
  <r>
    <n v="220"/>
    <d v="2023-03-03T00:00:00"/>
    <x v="219"/>
    <x v="0"/>
    <n v="64"/>
    <x v="0"/>
    <x v="0"/>
    <n v="1"/>
    <x v="1"/>
    <x v="3"/>
  </r>
  <r>
    <n v="221"/>
    <d v="2023-05-07T00:00:00"/>
    <x v="220"/>
    <x v="0"/>
    <n v="39"/>
    <x v="0"/>
    <x v="0"/>
    <n v="2"/>
    <x v="4"/>
    <x v="6"/>
  </r>
  <r>
    <n v="222"/>
    <d v="2023-04-26T00:00:00"/>
    <x v="221"/>
    <x v="0"/>
    <n v="51"/>
    <x v="0"/>
    <x v="1"/>
    <n v="4"/>
    <x v="2"/>
    <x v="10"/>
  </r>
  <r>
    <n v="223"/>
    <d v="2023-02-02T00:00:00"/>
    <x v="222"/>
    <x v="1"/>
    <n v="64"/>
    <x v="0"/>
    <x v="1"/>
    <n v="1"/>
    <x v="3"/>
    <x v="16"/>
  </r>
  <r>
    <n v="224"/>
    <d v="2023-06-23T00:00:00"/>
    <x v="223"/>
    <x v="1"/>
    <n v="25"/>
    <x v="1"/>
    <x v="1"/>
    <n v="1"/>
    <x v="0"/>
    <x v="5"/>
  </r>
  <r>
    <n v="225"/>
    <d v="2023-01-11T00:00:00"/>
    <x v="224"/>
    <x v="1"/>
    <n v="57"/>
    <x v="0"/>
    <x v="0"/>
    <n v="4"/>
    <x v="3"/>
    <x v="4"/>
  </r>
  <r>
    <n v="226"/>
    <d v="2023-10-29T00:00:00"/>
    <x v="225"/>
    <x v="1"/>
    <n v="61"/>
    <x v="0"/>
    <x v="1"/>
    <n v="1"/>
    <x v="0"/>
    <x v="5"/>
  </r>
  <r>
    <n v="227"/>
    <d v="2023-10-11T00:00:00"/>
    <x v="226"/>
    <x v="0"/>
    <n v="36"/>
    <x v="0"/>
    <x v="2"/>
    <n v="2"/>
    <x v="0"/>
    <x v="4"/>
  </r>
  <r>
    <n v="228"/>
    <d v="2023-04-28T00:00:00"/>
    <x v="227"/>
    <x v="1"/>
    <n v="59"/>
    <x v="0"/>
    <x v="2"/>
    <n v="2"/>
    <x v="2"/>
    <x v="17"/>
  </r>
  <r>
    <n v="229"/>
    <d v="2023-10-29T00:00:00"/>
    <x v="228"/>
    <x v="0"/>
    <n v="58"/>
    <x v="0"/>
    <x v="0"/>
    <n v="3"/>
    <x v="2"/>
    <x v="15"/>
  </r>
  <r>
    <n v="230"/>
    <d v="2023-04-23T00:00:00"/>
    <x v="229"/>
    <x v="0"/>
    <n v="54"/>
    <x v="0"/>
    <x v="0"/>
    <n v="1"/>
    <x v="3"/>
    <x v="16"/>
  </r>
  <r>
    <n v="231"/>
    <d v="2023-01-04T00:00:00"/>
    <x v="230"/>
    <x v="1"/>
    <n v="23"/>
    <x v="1"/>
    <x v="1"/>
    <n v="3"/>
    <x v="0"/>
    <x v="0"/>
  </r>
  <r>
    <n v="232"/>
    <d v="2023-02-06T00:00:00"/>
    <x v="231"/>
    <x v="1"/>
    <n v="43"/>
    <x v="0"/>
    <x v="0"/>
    <n v="1"/>
    <x v="3"/>
    <x v="16"/>
  </r>
  <r>
    <n v="233"/>
    <d v="2023-12-29T00:00:00"/>
    <x v="232"/>
    <x v="1"/>
    <n v="51"/>
    <x v="0"/>
    <x v="0"/>
    <n v="2"/>
    <x v="4"/>
    <x v="6"/>
  </r>
  <r>
    <n v="234"/>
    <d v="2023-11-20T00:00:00"/>
    <x v="233"/>
    <x v="1"/>
    <n v="62"/>
    <x v="0"/>
    <x v="2"/>
    <n v="2"/>
    <x v="3"/>
    <x v="5"/>
  </r>
  <r>
    <n v="235"/>
    <d v="2023-01-31T00:00:00"/>
    <x v="234"/>
    <x v="1"/>
    <n v="23"/>
    <x v="1"/>
    <x v="2"/>
    <n v="2"/>
    <x v="1"/>
    <x v="1"/>
  </r>
  <r>
    <n v="236"/>
    <d v="2023-04-28T00:00:00"/>
    <x v="235"/>
    <x v="1"/>
    <n v="54"/>
    <x v="0"/>
    <x v="1"/>
    <n v="1"/>
    <x v="3"/>
    <x v="16"/>
  </r>
  <r>
    <n v="237"/>
    <d v="2023-02-04T00:00:00"/>
    <x v="236"/>
    <x v="1"/>
    <n v="50"/>
    <x v="0"/>
    <x v="0"/>
    <n v="2"/>
    <x v="1"/>
    <x v="1"/>
  </r>
  <r>
    <n v="238"/>
    <d v="2023-01-17T00:00:00"/>
    <x v="237"/>
    <x v="1"/>
    <n v="39"/>
    <x v="0"/>
    <x v="0"/>
    <n v="1"/>
    <x v="1"/>
    <x v="3"/>
  </r>
  <r>
    <n v="239"/>
    <d v="2023-06-19T00:00:00"/>
    <x v="238"/>
    <x v="0"/>
    <n v="38"/>
    <x v="0"/>
    <x v="2"/>
    <n v="3"/>
    <x v="1"/>
    <x v="9"/>
  </r>
  <r>
    <n v="240"/>
    <d v="2023-02-06T00:00:00"/>
    <x v="239"/>
    <x v="1"/>
    <n v="23"/>
    <x v="1"/>
    <x v="0"/>
    <n v="1"/>
    <x v="4"/>
    <x v="13"/>
  </r>
  <r>
    <n v="241"/>
    <d v="2023-09-21T00:00:00"/>
    <x v="240"/>
    <x v="1"/>
    <n v="23"/>
    <x v="1"/>
    <x v="2"/>
    <n v="3"/>
    <x v="3"/>
    <x v="8"/>
  </r>
  <r>
    <n v="242"/>
    <d v="2023-05-02T00:00:00"/>
    <x v="241"/>
    <x v="0"/>
    <n v="21"/>
    <x v="1"/>
    <x v="1"/>
    <n v="1"/>
    <x v="3"/>
    <x v="16"/>
  </r>
  <r>
    <n v="243"/>
    <d v="2023-05-23T00:00:00"/>
    <x v="242"/>
    <x v="1"/>
    <n v="47"/>
    <x v="0"/>
    <x v="2"/>
    <n v="3"/>
    <x v="4"/>
    <x v="12"/>
  </r>
  <r>
    <n v="244"/>
    <d v="2023-12-09T00:00:00"/>
    <x v="243"/>
    <x v="0"/>
    <n v="28"/>
    <x v="0"/>
    <x v="0"/>
    <n v="2"/>
    <x v="0"/>
    <x v="4"/>
  </r>
  <r>
    <n v="245"/>
    <d v="2023-09-06T00:00:00"/>
    <x v="244"/>
    <x v="0"/>
    <n v="47"/>
    <x v="0"/>
    <x v="1"/>
    <n v="3"/>
    <x v="2"/>
    <x v="15"/>
  </r>
  <r>
    <n v="246"/>
    <d v="2023-04-20T00:00:00"/>
    <x v="245"/>
    <x v="1"/>
    <n v="48"/>
    <x v="0"/>
    <x v="2"/>
    <n v="2"/>
    <x v="3"/>
    <x v="5"/>
  </r>
  <r>
    <n v="247"/>
    <d v="2023-10-04T00:00:00"/>
    <x v="246"/>
    <x v="0"/>
    <n v="41"/>
    <x v="0"/>
    <x v="2"/>
    <n v="2"/>
    <x v="2"/>
    <x v="17"/>
  </r>
  <r>
    <n v="248"/>
    <d v="2023-03-09T00:00:00"/>
    <x v="247"/>
    <x v="0"/>
    <n v="26"/>
    <x v="0"/>
    <x v="1"/>
    <n v="3"/>
    <x v="4"/>
    <x v="12"/>
  </r>
  <r>
    <n v="249"/>
    <d v="2023-10-20T00:00:00"/>
    <x v="248"/>
    <x v="0"/>
    <n v="20"/>
    <x v="1"/>
    <x v="1"/>
    <n v="1"/>
    <x v="0"/>
    <x v="5"/>
  </r>
  <r>
    <n v="250"/>
    <d v="2023-10-23T00:00:00"/>
    <x v="249"/>
    <x v="0"/>
    <n v="48"/>
    <x v="0"/>
    <x v="2"/>
    <n v="1"/>
    <x v="0"/>
    <x v="5"/>
  </r>
  <r>
    <n v="251"/>
    <d v="2023-08-31T00:00:00"/>
    <x v="250"/>
    <x v="1"/>
    <n v="57"/>
    <x v="0"/>
    <x v="0"/>
    <n v="4"/>
    <x v="0"/>
    <x v="7"/>
  </r>
  <r>
    <n v="252"/>
    <d v="2023-05-05T00:00:00"/>
    <x v="251"/>
    <x v="0"/>
    <n v="54"/>
    <x v="0"/>
    <x v="2"/>
    <n v="1"/>
    <x v="4"/>
    <x v="13"/>
  </r>
  <r>
    <n v="253"/>
    <d v="2023-08-31T00:00:00"/>
    <x v="252"/>
    <x v="1"/>
    <n v="53"/>
    <x v="0"/>
    <x v="1"/>
    <n v="4"/>
    <x v="1"/>
    <x v="11"/>
  </r>
  <r>
    <n v="254"/>
    <d v="2023-07-28T00:00:00"/>
    <x v="253"/>
    <x v="0"/>
    <n v="41"/>
    <x v="0"/>
    <x v="2"/>
    <n v="1"/>
    <x v="1"/>
    <x v="3"/>
  </r>
  <r>
    <n v="255"/>
    <d v="2023-04-08T00:00:00"/>
    <x v="254"/>
    <x v="0"/>
    <n v="48"/>
    <x v="0"/>
    <x v="1"/>
    <n v="1"/>
    <x v="2"/>
    <x v="2"/>
  </r>
  <r>
    <n v="256"/>
    <d v="2023-02-18T00:00:00"/>
    <x v="255"/>
    <x v="0"/>
    <n v="23"/>
    <x v="1"/>
    <x v="1"/>
    <n v="2"/>
    <x v="1"/>
    <x v="1"/>
  </r>
  <r>
    <n v="257"/>
    <d v="2023-02-19T00:00:00"/>
    <x v="256"/>
    <x v="0"/>
    <n v="19"/>
    <x v="1"/>
    <x v="0"/>
    <n v="4"/>
    <x v="1"/>
    <x v="11"/>
  </r>
  <r>
    <n v="258"/>
    <d v="2023-12-04T00:00:00"/>
    <x v="257"/>
    <x v="1"/>
    <n v="37"/>
    <x v="0"/>
    <x v="1"/>
    <n v="1"/>
    <x v="0"/>
    <x v="5"/>
  </r>
  <r>
    <n v="259"/>
    <d v="2023-08-09T00:00:00"/>
    <x v="258"/>
    <x v="1"/>
    <n v="45"/>
    <x v="0"/>
    <x v="1"/>
    <n v="4"/>
    <x v="0"/>
    <x v="7"/>
  </r>
  <r>
    <n v="260"/>
    <d v="2023-07-01T00:00:00"/>
    <x v="259"/>
    <x v="0"/>
    <n v="28"/>
    <x v="0"/>
    <x v="0"/>
    <n v="2"/>
    <x v="2"/>
    <x v="17"/>
  </r>
  <r>
    <n v="261"/>
    <d v="2023-08-05T00:00:00"/>
    <x v="260"/>
    <x v="0"/>
    <n v="21"/>
    <x v="1"/>
    <x v="1"/>
    <n v="2"/>
    <x v="3"/>
    <x v="5"/>
  </r>
  <r>
    <n v="262"/>
    <d v="2023-07-30T00:00:00"/>
    <x v="261"/>
    <x v="1"/>
    <n v="32"/>
    <x v="0"/>
    <x v="0"/>
    <n v="4"/>
    <x v="2"/>
    <x v="10"/>
  </r>
  <r>
    <n v="263"/>
    <d v="2023-08-28T00:00:00"/>
    <x v="262"/>
    <x v="0"/>
    <n v="23"/>
    <x v="1"/>
    <x v="0"/>
    <n v="2"/>
    <x v="2"/>
    <x v="17"/>
  </r>
  <r>
    <n v="264"/>
    <d v="2023-01-28T00:00:00"/>
    <x v="263"/>
    <x v="0"/>
    <n v="47"/>
    <x v="0"/>
    <x v="1"/>
    <n v="3"/>
    <x v="4"/>
    <x v="12"/>
  </r>
  <r>
    <n v="265"/>
    <d v="2023-12-11T00:00:00"/>
    <x v="264"/>
    <x v="0"/>
    <n v="55"/>
    <x v="0"/>
    <x v="1"/>
    <n v="3"/>
    <x v="4"/>
    <x v="12"/>
  </r>
  <r>
    <n v="266"/>
    <d v="2023-12-01T00:00:00"/>
    <x v="265"/>
    <x v="1"/>
    <n v="19"/>
    <x v="1"/>
    <x v="2"/>
    <n v="2"/>
    <x v="2"/>
    <x v="17"/>
  </r>
  <r>
    <n v="267"/>
    <d v="2023-11-27T00:00:00"/>
    <x v="266"/>
    <x v="1"/>
    <n v="32"/>
    <x v="0"/>
    <x v="0"/>
    <n v="3"/>
    <x v="2"/>
    <x v="15"/>
  </r>
  <r>
    <n v="268"/>
    <d v="2023-02-20T00:00:00"/>
    <x v="267"/>
    <x v="1"/>
    <n v="28"/>
    <x v="0"/>
    <x v="2"/>
    <n v="1"/>
    <x v="2"/>
    <x v="2"/>
  </r>
  <r>
    <n v="269"/>
    <d v="2023-02-01T00:00:00"/>
    <x v="268"/>
    <x v="0"/>
    <n v="25"/>
    <x v="1"/>
    <x v="1"/>
    <n v="4"/>
    <x v="1"/>
    <x v="11"/>
  </r>
  <r>
    <n v="270"/>
    <d v="2023-07-26T00:00:00"/>
    <x v="269"/>
    <x v="0"/>
    <n v="43"/>
    <x v="0"/>
    <x v="2"/>
    <n v="1"/>
    <x v="4"/>
    <x v="13"/>
  </r>
  <r>
    <n v="271"/>
    <d v="2023-06-23T00:00:00"/>
    <x v="270"/>
    <x v="1"/>
    <n v="62"/>
    <x v="0"/>
    <x v="0"/>
    <n v="4"/>
    <x v="2"/>
    <x v="10"/>
  </r>
  <r>
    <n v="272"/>
    <d v="2023-02-25T00:00:00"/>
    <x v="271"/>
    <x v="1"/>
    <n v="61"/>
    <x v="0"/>
    <x v="2"/>
    <n v="2"/>
    <x v="0"/>
    <x v="4"/>
  </r>
  <r>
    <n v="273"/>
    <d v="2023-05-08T00:00:00"/>
    <x v="272"/>
    <x v="1"/>
    <n v="22"/>
    <x v="1"/>
    <x v="0"/>
    <n v="1"/>
    <x v="0"/>
    <x v="5"/>
  </r>
  <r>
    <n v="274"/>
    <d v="2023-04-09T00:00:00"/>
    <x v="273"/>
    <x v="1"/>
    <n v="23"/>
    <x v="1"/>
    <x v="1"/>
    <n v="2"/>
    <x v="1"/>
    <x v="1"/>
  </r>
  <r>
    <n v="275"/>
    <d v="2023-04-08T00:00:00"/>
    <x v="274"/>
    <x v="0"/>
    <n v="43"/>
    <x v="0"/>
    <x v="1"/>
    <n v="2"/>
    <x v="1"/>
    <x v="1"/>
  </r>
  <r>
    <n v="276"/>
    <d v="2023-10-02T00:00:00"/>
    <x v="275"/>
    <x v="1"/>
    <n v="21"/>
    <x v="1"/>
    <x v="0"/>
    <n v="4"/>
    <x v="3"/>
    <x v="4"/>
  </r>
  <r>
    <n v="277"/>
    <d v="2023-08-18T00:00:00"/>
    <x v="276"/>
    <x v="0"/>
    <n v="36"/>
    <x v="0"/>
    <x v="1"/>
    <n v="4"/>
    <x v="3"/>
    <x v="4"/>
  </r>
  <r>
    <n v="278"/>
    <d v="2023-03-13T00:00:00"/>
    <x v="277"/>
    <x v="1"/>
    <n v="37"/>
    <x v="0"/>
    <x v="1"/>
    <n v="4"/>
    <x v="3"/>
    <x v="4"/>
  </r>
  <r>
    <n v="279"/>
    <d v="2023-08-05T00:00:00"/>
    <x v="278"/>
    <x v="0"/>
    <n v="50"/>
    <x v="0"/>
    <x v="1"/>
    <n v="1"/>
    <x v="1"/>
    <x v="3"/>
  </r>
  <r>
    <n v="280"/>
    <d v="2023-04-04T00:00:00"/>
    <x v="279"/>
    <x v="1"/>
    <n v="37"/>
    <x v="0"/>
    <x v="1"/>
    <n v="3"/>
    <x v="1"/>
    <x v="9"/>
  </r>
  <r>
    <n v="281"/>
    <d v="2023-05-23T00:00:00"/>
    <x v="280"/>
    <x v="1"/>
    <n v="29"/>
    <x v="0"/>
    <x v="0"/>
    <n v="4"/>
    <x v="1"/>
    <x v="11"/>
  </r>
  <r>
    <n v="282"/>
    <d v="2023-08-25T00:00:00"/>
    <x v="281"/>
    <x v="1"/>
    <n v="64"/>
    <x v="0"/>
    <x v="2"/>
    <n v="4"/>
    <x v="0"/>
    <x v="7"/>
  </r>
  <r>
    <n v="283"/>
    <d v="2023-05-08T00:00:00"/>
    <x v="282"/>
    <x v="1"/>
    <n v="18"/>
    <x v="1"/>
    <x v="2"/>
    <n v="1"/>
    <x v="1"/>
    <x v="3"/>
  </r>
  <r>
    <n v="284"/>
    <d v="2023-02-08T00:00:00"/>
    <x v="283"/>
    <x v="0"/>
    <n v="43"/>
    <x v="0"/>
    <x v="1"/>
    <n v="4"/>
    <x v="0"/>
    <x v="7"/>
  </r>
  <r>
    <n v="285"/>
    <d v="2023-08-15T00:00:00"/>
    <x v="284"/>
    <x v="1"/>
    <n v="31"/>
    <x v="0"/>
    <x v="2"/>
    <n v="1"/>
    <x v="3"/>
    <x v="16"/>
  </r>
  <r>
    <n v="286"/>
    <d v="2023-10-09T00:00:00"/>
    <x v="285"/>
    <x v="0"/>
    <n v="55"/>
    <x v="0"/>
    <x v="2"/>
    <n v="2"/>
    <x v="3"/>
    <x v="5"/>
  </r>
  <r>
    <n v="287"/>
    <d v="2023-02-20T00:00:00"/>
    <x v="286"/>
    <x v="0"/>
    <n v="54"/>
    <x v="0"/>
    <x v="1"/>
    <n v="4"/>
    <x v="3"/>
    <x v="4"/>
  </r>
  <r>
    <n v="288"/>
    <d v="2023-01-26T00:00:00"/>
    <x v="287"/>
    <x v="0"/>
    <n v="28"/>
    <x v="0"/>
    <x v="1"/>
    <n v="4"/>
    <x v="2"/>
    <x v="10"/>
  </r>
  <r>
    <n v="289"/>
    <d v="2023-11-30T00:00:00"/>
    <x v="288"/>
    <x v="0"/>
    <n v="53"/>
    <x v="0"/>
    <x v="2"/>
    <n v="2"/>
    <x v="2"/>
    <x v="17"/>
  </r>
  <r>
    <n v="290"/>
    <d v="2023-10-04T00:00:00"/>
    <x v="289"/>
    <x v="1"/>
    <n v="30"/>
    <x v="0"/>
    <x v="0"/>
    <n v="2"/>
    <x v="4"/>
    <x v="6"/>
  </r>
  <r>
    <n v="291"/>
    <d v="2023-01-08T00:00:00"/>
    <x v="290"/>
    <x v="0"/>
    <n v="60"/>
    <x v="0"/>
    <x v="1"/>
    <n v="2"/>
    <x v="4"/>
    <x v="6"/>
  </r>
  <r>
    <n v="292"/>
    <d v="2023-02-17T00:00:00"/>
    <x v="291"/>
    <x v="0"/>
    <n v="20"/>
    <x v="1"/>
    <x v="0"/>
    <n v="4"/>
    <x v="4"/>
    <x v="14"/>
  </r>
  <r>
    <n v="293"/>
    <d v="2023-05-02T00:00:00"/>
    <x v="292"/>
    <x v="0"/>
    <n v="50"/>
    <x v="0"/>
    <x v="2"/>
    <n v="3"/>
    <x v="2"/>
    <x v="15"/>
  </r>
  <r>
    <n v="294"/>
    <d v="2023-03-27T00:00:00"/>
    <x v="293"/>
    <x v="1"/>
    <n v="23"/>
    <x v="1"/>
    <x v="1"/>
    <n v="3"/>
    <x v="2"/>
    <x v="15"/>
  </r>
  <r>
    <n v="295"/>
    <d v="2023-07-28T00:00:00"/>
    <x v="294"/>
    <x v="1"/>
    <n v="27"/>
    <x v="0"/>
    <x v="0"/>
    <n v="3"/>
    <x v="4"/>
    <x v="12"/>
  </r>
  <r>
    <n v="296"/>
    <d v="2023-09-06T00:00:00"/>
    <x v="295"/>
    <x v="1"/>
    <n v="22"/>
    <x v="1"/>
    <x v="1"/>
    <n v="4"/>
    <x v="4"/>
    <x v="14"/>
  </r>
  <r>
    <n v="297"/>
    <d v="2023-09-04T00:00:00"/>
    <x v="296"/>
    <x v="1"/>
    <n v="40"/>
    <x v="0"/>
    <x v="2"/>
    <n v="2"/>
    <x v="1"/>
    <x v="1"/>
  </r>
  <r>
    <n v="298"/>
    <d v="2023-04-20T00:00:00"/>
    <x v="297"/>
    <x v="0"/>
    <n v="27"/>
    <x v="0"/>
    <x v="0"/>
    <n v="4"/>
    <x v="4"/>
    <x v="14"/>
  </r>
  <r>
    <n v="299"/>
    <d v="2023-07-25T00:00:00"/>
    <x v="298"/>
    <x v="0"/>
    <n v="61"/>
    <x v="0"/>
    <x v="2"/>
    <n v="2"/>
    <x v="1"/>
    <x v="1"/>
  </r>
  <r>
    <n v="300"/>
    <d v="2023-01-31T00:00:00"/>
    <x v="299"/>
    <x v="1"/>
    <n v="19"/>
    <x v="1"/>
    <x v="2"/>
    <n v="4"/>
    <x v="0"/>
    <x v="7"/>
  </r>
  <r>
    <n v="301"/>
    <d v="2023-03-26T00:00:00"/>
    <x v="300"/>
    <x v="0"/>
    <n v="30"/>
    <x v="0"/>
    <x v="1"/>
    <n v="4"/>
    <x v="2"/>
    <x v="10"/>
  </r>
  <r>
    <n v="302"/>
    <d v="2023-07-14T00:00:00"/>
    <x v="301"/>
    <x v="0"/>
    <n v="57"/>
    <x v="0"/>
    <x v="0"/>
    <n v="2"/>
    <x v="4"/>
    <x v="6"/>
  </r>
  <r>
    <n v="303"/>
    <d v="2023-01-02T00:00:00"/>
    <x v="302"/>
    <x v="0"/>
    <n v="19"/>
    <x v="1"/>
    <x v="2"/>
    <n v="3"/>
    <x v="2"/>
    <x v="15"/>
  </r>
  <r>
    <n v="304"/>
    <d v="2023-07-19T00:00:00"/>
    <x v="303"/>
    <x v="1"/>
    <n v="37"/>
    <x v="0"/>
    <x v="2"/>
    <n v="2"/>
    <x v="2"/>
    <x v="17"/>
  </r>
  <r>
    <n v="305"/>
    <d v="2023-05-16T00:00:00"/>
    <x v="304"/>
    <x v="1"/>
    <n v="18"/>
    <x v="1"/>
    <x v="0"/>
    <n v="1"/>
    <x v="2"/>
    <x v="2"/>
  </r>
  <r>
    <n v="306"/>
    <d v="2023-08-21T00:00:00"/>
    <x v="305"/>
    <x v="0"/>
    <n v="54"/>
    <x v="0"/>
    <x v="2"/>
    <n v="1"/>
    <x v="0"/>
    <x v="5"/>
  </r>
  <r>
    <n v="307"/>
    <d v="2023-05-27T00:00:00"/>
    <x v="306"/>
    <x v="1"/>
    <n v="26"/>
    <x v="0"/>
    <x v="2"/>
    <n v="2"/>
    <x v="3"/>
    <x v="5"/>
  </r>
  <r>
    <n v="308"/>
    <d v="2023-08-05T00:00:00"/>
    <x v="307"/>
    <x v="1"/>
    <n v="34"/>
    <x v="0"/>
    <x v="0"/>
    <n v="4"/>
    <x v="4"/>
    <x v="14"/>
  </r>
  <r>
    <n v="309"/>
    <d v="2023-12-23T00:00:00"/>
    <x v="308"/>
    <x v="1"/>
    <n v="26"/>
    <x v="0"/>
    <x v="0"/>
    <n v="1"/>
    <x v="3"/>
    <x v="16"/>
  </r>
  <r>
    <n v="310"/>
    <d v="2023-10-12T00:00:00"/>
    <x v="309"/>
    <x v="1"/>
    <n v="28"/>
    <x v="0"/>
    <x v="0"/>
    <n v="1"/>
    <x v="3"/>
    <x v="16"/>
  </r>
  <r>
    <n v="311"/>
    <d v="2023-12-05T00:00:00"/>
    <x v="310"/>
    <x v="1"/>
    <n v="32"/>
    <x v="0"/>
    <x v="0"/>
    <n v="4"/>
    <x v="3"/>
    <x v="4"/>
  </r>
  <r>
    <n v="312"/>
    <d v="2023-09-07T00:00:00"/>
    <x v="311"/>
    <x v="0"/>
    <n v="41"/>
    <x v="0"/>
    <x v="1"/>
    <n v="4"/>
    <x v="2"/>
    <x v="10"/>
  </r>
  <r>
    <n v="313"/>
    <d v="2023-03-21T00:00:00"/>
    <x v="312"/>
    <x v="1"/>
    <n v="55"/>
    <x v="0"/>
    <x v="0"/>
    <n v="3"/>
    <x v="1"/>
    <x v="9"/>
  </r>
  <r>
    <n v="314"/>
    <d v="2023-04-08T00:00:00"/>
    <x v="313"/>
    <x v="0"/>
    <n v="52"/>
    <x v="0"/>
    <x v="1"/>
    <n v="4"/>
    <x v="2"/>
    <x v="10"/>
  </r>
  <r>
    <n v="315"/>
    <d v="2023-06-01T00:00:00"/>
    <x v="314"/>
    <x v="0"/>
    <n v="47"/>
    <x v="0"/>
    <x v="1"/>
    <n v="2"/>
    <x v="2"/>
    <x v="17"/>
  </r>
  <r>
    <n v="316"/>
    <d v="2023-04-22T00:00:00"/>
    <x v="315"/>
    <x v="1"/>
    <n v="48"/>
    <x v="0"/>
    <x v="1"/>
    <n v="2"/>
    <x v="3"/>
    <x v="5"/>
  </r>
  <r>
    <n v="317"/>
    <d v="2023-01-30T00:00:00"/>
    <x v="316"/>
    <x v="0"/>
    <n v="22"/>
    <x v="1"/>
    <x v="2"/>
    <n v="3"/>
    <x v="2"/>
    <x v="15"/>
  </r>
  <r>
    <n v="318"/>
    <d v="2023-10-24T00:00:00"/>
    <x v="317"/>
    <x v="0"/>
    <n v="61"/>
    <x v="0"/>
    <x v="1"/>
    <n v="1"/>
    <x v="3"/>
    <x v="16"/>
  </r>
  <r>
    <n v="319"/>
    <d v="2023-10-05T00:00:00"/>
    <x v="318"/>
    <x v="0"/>
    <n v="31"/>
    <x v="0"/>
    <x v="1"/>
    <n v="1"/>
    <x v="1"/>
    <x v="3"/>
  </r>
  <r>
    <n v="320"/>
    <d v="2023-02-01T00:00:00"/>
    <x v="319"/>
    <x v="1"/>
    <n v="28"/>
    <x v="0"/>
    <x v="2"/>
    <n v="4"/>
    <x v="4"/>
    <x v="14"/>
  </r>
  <r>
    <n v="321"/>
    <d v="2023-06-10T00:00:00"/>
    <x v="320"/>
    <x v="1"/>
    <n v="26"/>
    <x v="0"/>
    <x v="2"/>
    <n v="2"/>
    <x v="3"/>
    <x v="5"/>
  </r>
  <r>
    <n v="322"/>
    <d v="2023-01-30T00:00:00"/>
    <x v="321"/>
    <x v="0"/>
    <n v="51"/>
    <x v="0"/>
    <x v="2"/>
    <n v="1"/>
    <x v="1"/>
    <x v="3"/>
  </r>
  <r>
    <n v="323"/>
    <d v="2023-01-26T00:00:00"/>
    <x v="322"/>
    <x v="1"/>
    <n v="29"/>
    <x v="0"/>
    <x v="0"/>
    <n v="3"/>
    <x v="4"/>
    <x v="12"/>
  </r>
  <r>
    <n v="324"/>
    <d v="2023-10-27T00:00:00"/>
    <x v="323"/>
    <x v="1"/>
    <n v="52"/>
    <x v="0"/>
    <x v="2"/>
    <n v="3"/>
    <x v="0"/>
    <x v="0"/>
  </r>
  <r>
    <n v="325"/>
    <d v="2023-09-02T00:00:00"/>
    <x v="324"/>
    <x v="1"/>
    <n v="52"/>
    <x v="0"/>
    <x v="2"/>
    <n v="2"/>
    <x v="3"/>
    <x v="5"/>
  </r>
  <r>
    <n v="326"/>
    <d v="2023-09-15T00:00:00"/>
    <x v="325"/>
    <x v="1"/>
    <n v="18"/>
    <x v="1"/>
    <x v="1"/>
    <n v="3"/>
    <x v="3"/>
    <x v="8"/>
  </r>
  <r>
    <n v="327"/>
    <d v="2023-09-29T00:00:00"/>
    <x v="326"/>
    <x v="0"/>
    <n v="57"/>
    <x v="0"/>
    <x v="2"/>
    <n v="3"/>
    <x v="0"/>
    <x v="0"/>
  </r>
  <r>
    <n v="328"/>
    <d v="2023-03-22T00:00:00"/>
    <x v="327"/>
    <x v="0"/>
    <n v="39"/>
    <x v="0"/>
    <x v="0"/>
    <n v="2"/>
    <x v="0"/>
    <x v="4"/>
  </r>
  <r>
    <n v="329"/>
    <d v="2023-01-30T00:00:00"/>
    <x v="328"/>
    <x v="1"/>
    <n v="46"/>
    <x v="0"/>
    <x v="2"/>
    <n v="4"/>
    <x v="3"/>
    <x v="4"/>
  </r>
  <r>
    <n v="330"/>
    <d v="2023-09-18T00:00:00"/>
    <x v="329"/>
    <x v="1"/>
    <n v="25"/>
    <x v="1"/>
    <x v="0"/>
    <n v="4"/>
    <x v="0"/>
    <x v="7"/>
  </r>
  <r>
    <n v="331"/>
    <d v="2023-02-11T00:00:00"/>
    <x v="330"/>
    <x v="0"/>
    <n v="28"/>
    <x v="0"/>
    <x v="2"/>
    <n v="3"/>
    <x v="2"/>
    <x v="15"/>
  </r>
  <r>
    <n v="332"/>
    <d v="2023-04-06T00:00:00"/>
    <x v="331"/>
    <x v="0"/>
    <n v="58"/>
    <x v="0"/>
    <x v="2"/>
    <n v="4"/>
    <x v="4"/>
    <x v="14"/>
  </r>
  <r>
    <n v="333"/>
    <d v="2023-02-05T00:00:00"/>
    <x v="332"/>
    <x v="1"/>
    <n v="54"/>
    <x v="0"/>
    <x v="2"/>
    <n v="4"/>
    <x v="4"/>
    <x v="14"/>
  </r>
  <r>
    <n v="334"/>
    <d v="2023-11-01T00:00:00"/>
    <x v="333"/>
    <x v="0"/>
    <n v="31"/>
    <x v="0"/>
    <x v="2"/>
    <n v="3"/>
    <x v="4"/>
    <x v="12"/>
  </r>
  <r>
    <n v="335"/>
    <d v="2023-02-04T00:00:00"/>
    <x v="334"/>
    <x v="1"/>
    <n v="47"/>
    <x v="0"/>
    <x v="0"/>
    <n v="4"/>
    <x v="2"/>
    <x v="10"/>
  </r>
  <r>
    <n v="336"/>
    <d v="2023-12-12T00:00:00"/>
    <x v="335"/>
    <x v="1"/>
    <n v="52"/>
    <x v="0"/>
    <x v="0"/>
    <n v="3"/>
    <x v="0"/>
    <x v="0"/>
  </r>
  <r>
    <n v="337"/>
    <d v="2023-05-01T00:00:00"/>
    <x v="336"/>
    <x v="0"/>
    <n v="38"/>
    <x v="0"/>
    <x v="1"/>
    <n v="1"/>
    <x v="1"/>
    <x v="3"/>
  </r>
  <r>
    <n v="338"/>
    <d v="2023-07-26T00:00:00"/>
    <x v="337"/>
    <x v="0"/>
    <n v="54"/>
    <x v="0"/>
    <x v="0"/>
    <n v="2"/>
    <x v="0"/>
    <x v="4"/>
  </r>
  <r>
    <n v="339"/>
    <d v="2023-03-03T00:00:00"/>
    <x v="338"/>
    <x v="1"/>
    <n v="22"/>
    <x v="1"/>
    <x v="2"/>
    <n v="2"/>
    <x v="3"/>
    <x v="5"/>
  </r>
  <r>
    <n v="340"/>
    <d v="2023-10-19T00:00:00"/>
    <x v="339"/>
    <x v="1"/>
    <n v="36"/>
    <x v="0"/>
    <x v="1"/>
    <n v="4"/>
    <x v="4"/>
    <x v="14"/>
  </r>
  <r>
    <n v="341"/>
    <d v="2023-05-07T00:00:00"/>
    <x v="340"/>
    <x v="0"/>
    <n v="31"/>
    <x v="0"/>
    <x v="1"/>
    <n v="4"/>
    <x v="0"/>
    <x v="7"/>
  </r>
  <r>
    <n v="342"/>
    <d v="2023-10-24T00:00:00"/>
    <x v="341"/>
    <x v="1"/>
    <n v="43"/>
    <x v="0"/>
    <x v="1"/>
    <n v="4"/>
    <x v="1"/>
    <x v="11"/>
  </r>
  <r>
    <n v="343"/>
    <d v="2023-11-01T00:00:00"/>
    <x v="342"/>
    <x v="0"/>
    <n v="21"/>
    <x v="1"/>
    <x v="2"/>
    <n v="2"/>
    <x v="3"/>
    <x v="5"/>
  </r>
  <r>
    <n v="344"/>
    <d v="2023-01-21T00:00:00"/>
    <x v="343"/>
    <x v="1"/>
    <n v="42"/>
    <x v="0"/>
    <x v="0"/>
    <n v="1"/>
    <x v="2"/>
    <x v="2"/>
  </r>
  <r>
    <n v="345"/>
    <d v="2023-11-14T00:00:00"/>
    <x v="344"/>
    <x v="0"/>
    <n v="62"/>
    <x v="0"/>
    <x v="2"/>
    <n v="1"/>
    <x v="2"/>
    <x v="2"/>
  </r>
  <r>
    <n v="346"/>
    <d v="2023-02-11T00:00:00"/>
    <x v="345"/>
    <x v="0"/>
    <n v="59"/>
    <x v="0"/>
    <x v="1"/>
    <n v="2"/>
    <x v="1"/>
    <x v="1"/>
  </r>
  <r>
    <n v="347"/>
    <d v="2023-08-03T00:00:00"/>
    <x v="346"/>
    <x v="0"/>
    <n v="42"/>
    <x v="0"/>
    <x v="2"/>
    <n v="1"/>
    <x v="3"/>
    <x v="16"/>
  </r>
  <r>
    <n v="348"/>
    <d v="2023-12-03T00:00:00"/>
    <x v="347"/>
    <x v="1"/>
    <n v="35"/>
    <x v="0"/>
    <x v="2"/>
    <n v="2"/>
    <x v="4"/>
    <x v="6"/>
  </r>
  <r>
    <n v="349"/>
    <d v="2023-10-26T00:00:00"/>
    <x v="348"/>
    <x v="1"/>
    <n v="57"/>
    <x v="0"/>
    <x v="0"/>
    <n v="1"/>
    <x v="0"/>
    <x v="5"/>
  </r>
  <r>
    <n v="350"/>
    <d v="2023-10-17T00:00:00"/>
    <x v="349"/>
    <x v="0"/>
    <n v="25"/>
    <x v="1"/>
    <x v="0"/>
    <n v="3"/>
    <x v="3"/>
    <x v="8"/>
  </r>
  <r>
    <n v="351"/>
    <d v="2023-09-25T00:00:00"/>
    <x v="350"/>
    <x v="1"/>
    <n v="56"/>
    <x v="0"/>
    <x v="1"/>
    <n v="3"/>
    <x v="2"/>
    <x v="15"/>
  </r>
  <r>
    <n v="352"/>
    <d v="2023-06-11T00:00:00"/>
    <x v="351"/>
    <x v="0"/>
    <n v="57"/>
    <x v="0"/>
    <x v="2"/>
    <n v="2"/>
    <x v="1"/>
    <x v="1"/>
  </r>
  <r>
    <n v="353"/>
    <d v="2023-05-14T00:00:00"/>
    <x v="352"/>
    <x v="0"/>
    <n v="31"/>
    <x v="0"/>
    <x v="2"/>
    <n v="1"/>
    <x v="1"/>
    <x v="3"/>
  </r>
  <r>
    <n v="354"/>
    <d v="2023-04-15T00:00:00"/>
    <x v="353"/>
    <x v="1"/>
    <n v="49"/>
    <x v="0"/>
    <x v="0"/>
    <n v="4"/>
    <x v="0"/>
    <x v="7"/>
  </r>
  <r>
    <n v="355"/>
    <d v="2023-12-09T00:00:00"/>
    <x v="354"/>
    <x v="1"/>
    <n v="55"/>
    <x v="0"/>
    <x v="2"/>
    <n v="1"/>
    <x v="1"/>
    <x v="3"/>
  </r>
  <r>
    <n v="356"/>
    <d v="2023-06-10T00:00:00"/>
    <x v="355"/>
    <x v="0"/>
    <n v="50"/>
    <x v="0"/>
    <x v="2"/>
    <n v="3"/>
    <x v="1"/>
    <x v="9"/>
  </r>
  <r>
    <n v="357"/>
    <d v="2023-05-03T00:00:00"/>
    <x v="356"/>
    <x v="1"/>
    <n v="40"/>
    <x v="0"/>
    <x v="2"/>
    <n v="3"/>
    <x v="3"/>
    <x v="8"/>
  </r>
  <r>
    <n v="358"/>
    <d v="2023-05-16T00:00:00"/>
    <x v="357"/>
    <x v="1"/>
    <n v="32"/>
    <x v="0"/>
    <x v="0"/>
    <n v="1"/>
    <x v="4"/>
    <x v="13"/>
  </r>
  <r>
    <n v="359"/>
    <d v="2023-07-22T00:00:00"/>
    <x v="358"/>
    <x v="0"/>
    <n v="50"/>
    <x v="0"/>
    <x v="1"/>
    <n v="1"/>
    <x v="0"/>
    <x v="5"/>
  </r>
  <r>
    <n v="360"/>
    <d v="2023-03-09T00:00:00"/>
    <x v="359"/>
    <x v="0"/>
    <n v="42"/>
    <x v="0"/>
    <x v="1"/>
    <n v="4"/>
    <x v="3"/>
    <x v="4"/>
  </r>
  <r>
    <n v="361"/>
    <d v="2023-12-10T00:00:00"/>
    <x v="360"/>
    <x v="1"/>
    <n v="34"/>
    <x v="0"/>
    <x v="2"/>
    <n v="4"/>
    <x v="4"/>
    <x v="14"/>
  </r>
  <r>
    <n v="362"/>
    <d v="2023-11-27T00:00:00"/>
    <x v="361"/>
    <x v="0"/>
    <n v="50"/>
    <x v="0"/>
    <x v="1"/>
    <n v="1"/>
    <x v="3"/>
    <x v="16"/>
  </r>
  <r>
    <n v="363"/>
    <d v="2023-06-03T00:00:00"/>
    <x v="362"/>
    <x v="0"/>
    <n v="64"/>
    <x v="0"/>
    <x v="0"/>
    <n v="1"/>
    <x v="3"/>
    <x v="16"/>
  </r>
  <r>
    <n v="364"/>
    <d v="2023-08-23T00:00:00"/>
    <x v="363"/>
    <x v="1"/>
    <n v="19"/>
    <x v="1"/>
    <x v="0"/>
    <n v="1"/>
    <x v="1"/>
    <x v="3"/>
  </r>
  <r>
    <n v="365"/>
    <d v="2023-06-11T00:00:00"/>
    <x v="364"/>
    <x v="0"/>
    <n v="31"/>
    <x v="0"/>
    <x v="1"/>
    <n v="1"/>
    <x v="4"/>
    <x v="13"/>
  </r>
  <r>
    <n v="366"/>
    <d v="2023-02-07T00:00:00"/>
    <x v="365"/>
    <x v="0"/>
    <n v="57"/>
    <x v="0"/>
    <x v="1"/>
    <n v="2"/>
    <x v="0"/>
    <x v="4"/>
  </r>
  <r>
    <n v="367"/>
    <d v="2023-01-05T00:00:00"/>
    <x v="366"/>
    <x v="1"/>
    <n v="57"/>
    <x v="0"/>
    <x v="2"/>
    <n v="1"/>
    <x v="0"/>
    <x v="5"/>
  </r>
  <r>
    <n v="368"/>
    <d v="2023-08-23T00:00:00"/>
    <x v="367"/>
    <x v="1"/>
    <n v="56"/>
    <x v="0"/>
    <x v="1"/>
    <n v="4"/>
    <x v="4"/>
    <x v="14"/>
  </r>
  <r>
    <n v="369"/>
    <d v="2023-11-15T00:00:00"/>
    <x v="368"/>
    <x v="0"/>
    <n v="23"/>
    <x v="1"/>
    <x v="2"/>
    <n v="3"/>
    <x v="1"/>
    <x v="9"/>
  </r>
  <r>
    <n v="370"/>
    <d v="2023-10-16T00:00:00"/>
    <x v="369"/>
    <x v="0"/>
    <n v="23"/>
    <x v="1"/>
    <x v="2"/>
    <n v="2"/>
    <x v="2"/>
    <x v="17"/>
  </r>
  <r>
    <n v="371"/>
    <d v="2023-02-21T00:00:00"/>
    <x v="370"/>
    <x v="1"/>
    <n v="20"/>
    <x v="1"/>
    <x v="0"/>
    <n v="1"/>
    <x v="3"/>
    <x v="16"/>
  </r>
  <r>
    <n v="372"/>
    <d v="2023-02-07T00:00:00"/>
    <x v="371"/>
    <x v="1"/>
    <n v="24"/>
    <x v="1"/>
    <x v="0"/>
    <n v="3"/>
    <x v="1"/>
    <x v="9"/>
  </r>
  <r>
    <n v="373"/>
    <d v="2023-10-03T00:00:00"/>
    <x v="372"/>
    <x v="1"/>
    <n v="25"/>
    <x v="1"/>
    <x v="0"/>
    <n v="2"/>
    <x v="4"/>
    <x v="6"/>
  </r>
  <r>
    <n v="374"/>
    <d v="2023-04-20T00:00:00"/>
    <x v="373"/>
    <x v="1"/>
    <n v="59"/>
    <x v="0"/>
    <x v="0"/>
    <n v="3"/>
    <x v="3"/>
    <x v="8"/>
  </r>
  <r>
    <n v="375"/>
    <d v="2023-09-17T00:00:00"/>
    <x v="374"/>
    <x v="0"/>
    <n v="32"/>
    <x v="0"/>
    <x v="1"/>
    <n v="1"/>
    <x v="0"/>
    <x v="5"/>
  </r>
  <r>
    <n v="376"/>
    <d v="2023-05-16T00:00:00"/>
    <x v="375"/>
    <x v="1"/>
    <n v="64"/>
    <x v="0"/>
    <x v="0"/>
    <n v="1"/>
    <x v="2"/>
    <x v="2"/>
  </r>
  <r>
    <n v="377"/>
    <d v="2023-03-09T00:00:00"/>
    <x v="376"/>
    <x v="1"/>
    <n v="46"/>
    <x v="0"/>
    <x v="1"/>
    <n v="4"/>
    <x v="0"/>
    <x v="7"/>
  </r>
  <r>
    <n v="378"/>
    <d v="2023-06-28T00:00:00"/>
    <x v="377"/>
    <x v="0"/>
    <n v="50"/>
    <x v="0"/>
    <x v="0"/>
    <n v="1"/>
    <x v="4"/>
    <x v="13"/>
  </r>
  <r>
    <n v="379"/>
    <d v="2023-02-05T00:00:00"/>
    <x v="378"/>
    <x v="1"/>
    <n v="47"/>
    <x v="0"/>
    <x v="1"/>
    <n v="1"/>
    <x v="3"/>
    <x v="16"/>
  </r>
  <r>
    <n v="380"/>
    <d v="2023-05-06T00:00:00"/>
    <x v="379"/>
    <x v="0"/>
    <n v="56"/>
    <x v="0"/>
    <x v="2"/>
    <n v="2"/>
    <x v="4"/>
    <x v="6"/>
  </r>
  <r>
    <n v="381"/>
    <d v="2023-07-09T00:00:00"/>
    <x v="380"/>
    <x v="1"/>
    <n v="44"/>
    <x v="0"/>
    <x v="1"/>
    <n v="4"/>
    <x v="3"/>
    <x v="4"/>
  </r>
  <r>
    <n v="382"/>
    <d v="2023-05-26T00:00:00"/>
    <x v="381"/>
    <x v="1"/>
    <n v="53"/>
    <x v="0"/>
    <x v="1"/>
    <n v="2"/>
    <x v="1"/>
    <x v="1"/>
  </r>
  <r>
    <n v="383"/>
    <d v="2023-03-22T00:00:00"/>
    <x v="382"/>
    <x v="1"/>
    <n v="46"/>
    <x v="0"/>
    <x v="0"/>
    <n v="3"/>
    <x v="2"/>
    <x v="15"/>
  </r>
  <r>
    <n v="384"/>
    <d v="2023-08-13T00:00:00"/>
    <x v="383"/>
    <x v="0"/>
    <n v="55"/>
    <x v="0"/>
    <x v="1"/>
    <n v="1"/>
    <x v="1"/>
    <x v="3"/>
  </r>
  <r>
    <n v="385"/>
    <d v="2023-10-06T00:00:00"/>
    <x v="384"/>
    <x v="0"/>
    <n v="50"/>
    <x v="0"/>
    <x v="2"/>
    <n v="3"/>
    <x v="1"/>
    <x v="9"/>
  </r>
  <r>
    <n v="386"/>
    <d v="2023-12-27T00:00:00"/>
    <x v="385"/>
    <x v="1"/>
    <n v="54"/>
    <x v="0"/>
    <x v="2"/>
    <n v="2"/>
    <x v="4"/>
    <x v="6"/>
  </r>
  <r>
    <n v="387"/>
    <d v="2023-06-04T00:00:00"/>
    <x v="386"/>
    <x v="0"/>
    <n v="44"/>
    <x v="0"/>
    <x v="0"/>
    <n v="1"/>
    <x v="2"/>
    <x v="2"/>
  </r>
  <r>
    <n v="388"/>
    <d v="2023-11-10T00:00:00"/>
    <x v="387"/>
    <x v="0"/>
    <n v="50"/>
    <x v="0"/>
    <x v="2"/>
    <n v="1"/>
    <x v="3"/>
    <x v="16"/>
  </r>
  <r>
    <n v="389"/>
    <d v="2023-12-01T00:00:00"/>
    <x v="388"/>
    <x v="0"/>
    <n v="21"/>
    <x v="1"/>
    <x v="1"/>
    <n v="2"/>
    <x v="3"/>
    <x v="5"/>
  </r>
  <r>
    <n v="390"/>
    <d v="2023-09-28T00:00:00"/>
    <x v="389"/>
    <x v="0"/>
    <n v="39"/>
    <x v="0"/>
    <x v="2"/>
    <n v="2"/>
    <x v="0"/>
    <x v="4"/>
  </r>
  <r>
    <n v="391"/>
    <d v="2023-01-05T00:00:00"/>
    <x v="390"/>
    <x v="0"/>
    <n v="19"/>
    <x v="1"/>
    <x v="0"/>
    <n v="2"/>
    <x v="3"/>
    <x v="5"/>
  </r>
  <r>
    <n v="392"/>
    <d v="2023-12-08T00:00:00"/>
    <x v="391"/>
    <x v="0"/>
    <n v="27"/>
    <x v="0"/>
    <x v="1"/>
    <n v="2"/>
    <x v="4"/>
    <x v="6"/>
  </r>
  <r>
    <n v="393"/>
    <d v="2023-10-11T00:00:00"/>
    <x v="392"/>
    <x v="1"/>
    <n v="22"/>
    <x v="1"/>
    <x v="0"/>
    <n v="2"/>
    <x v="1"/>
    <x v="1"/>
  </r>
  <r>
    <n v="394"/>
    <d v="2023-06-03T00:00:00"/>
    <x v="393"/>
    <x v="1"/>
    <n v="27"/>
    <x v="0"/>
    <x v="1"/>
    <n v="1"/>
    <x v="1"/>
    <x v="3"/>
  </r>
  <r>
    <n v="395"/>
    <d v="2023-12-06T00:00:00"/>
    <x v="394"/>
    <x v="0"/>
    <n v="50"/>
    <x v="0"/>
    <x v="2"/>
    <n v="2"/>
    <x v="1"/>
    <x v="1"/>
  </r>
  <r>
    <n v="396"/>
    <d v="2023-02-23T00:00:00"/>
    <x v="395"/>
    <x v="1"/>
    <n v="55"/>
    <x v="0"/>
    <x v="0"/>
    <n v="1"/>
    <x v="2"/>
    <x v="2"/>
  </r>
  <r>
    <n v="397"/>
    <d v="2023-03-10T00:00:00"/>
    <x v="396"/>
    <x v="1"/>
    <n v="30"/>
    <x v="0"/>
    <x v="0"/>
    <n v="1"/>
    <x v="3"/>
    <x v="16"/>
  </r>
  <r>
    <n v="398"/>
    <d v="2023-05-16T00:00:00"/>
    <x v="397"/>
    <x v="1"/>
    <n v="48"/>
    <x v="0"/>
    <x v="1"/>
    <n v="2"/>
    <x v="4"/>
    <x v="6"/>
  </r>
  <r>
    <n v="399"/>
    <d v="2023-03-01T00:00:00"/>
    <x v="398"/>
    <x v="1"/>
    <n v="64"/>
    <x v="0"/>
    <x v="0"/>
    <n v="2"/>
    <x v="2"/>
    <x v="17"/>
  </r>
  <r>
    <n v="400"/>
    <d v="2023-02-24T00:00:00"/>
    <x v="399"/>
    <x v="0"/>
    <n v="53"/>
    <x v="0"/>
    <x v="1"/>
    <n v="4"/>
    <x v="0"/>
    <x v="7"/>
  </r>
  <r>
    <n v="401"/>
    <d v="2023-10-11T00:00:00"/>
    <x v="400"/>
    <x v="1"/>
    <n v="62"/>
    <x v="0"/>
    <x v="1"/>
    <n v="1"/>
    <x v="4"/>
    <x v="13"/>
  </r>
  <r>
    <n v="402"/>
    <d v="2023-03-21T00:00:00"/>
    <x v="401"/>
    <x v="1"/>
    <n v="41"/>
    <x v="0"/>
    <x v="1"/>
    <n v="2"/>
    <x v="4"/>
    <x v="6"/>
  </r>
  <r>
    <n v="403"/>
    <d v="2023-05-20T00:00:00"/>
    <x v="402"/>
    <x v="0"/>
    <n v="32"/>
    <x v="0"/>
    <x v="1"/>
    <n v="2"/>
    <x v="4"/>
    <x v="6"/>
  </r>
  <r>
    <n v="404"/>
    <d v="2023-05-25T00:00:00"/>
    <x v="403"/>
    <x v="0"/>
    <n v="46"/>
    <x v="0"/>
    <x v="2"/>
    <n v="2"/>
    <x v="1"/>
    <x v="1"/>
  </r>
  <r>
    <n v="405"/>
    <d v="2023-11-06T00:00:00"/>
    <x v="404"/>
    <x v="1"/>
    <n v="25"/>
    <x v="1"/>
    <x v="1"/>
    <n v="4"/>
    <x v="4"/>
    <x v="14"/>
  </r>
  <r>
    <n v="406"/>
    <d v="2023-04-18T00:00:00"/>
    <x v="405"/>
    <x v="1"/>
    <n v="22"/>
    <x v="1"/>
    <x v="0"/>
    <n v="4"/>
    <x v="3"/>
    <x v="4"/>
  </r>
  <r>
    <n v="407"/>
    <d v="2023-06-25T00:00:00"/>
    <x v="406"/>
    <x v="1"/>
    <n v="46"/>
    <x v="0"/>
    <x v="2"/>
    <n v="3"/>
    <x v="4"/>
    <x v="12"/>
  </r>
  <r>
    <n v="408"/>
    <d v="2023-04-15T00:00:00"/>
    <x v="407"/>
    <x v="1"/>
    <n v="64"/>
    <x v="0"/>
    <x v="0"/>
    <n v="1"/>
    <x v="1"/>
    <x v="3"/>
  </r>
  <r>
    <n v="409"/>
    <d v="2023-12-18T00:00:00"/>
    <x v="408"/>
    <x v="1"/>
    <n v="21"/>
    <x v="1"/>
    <x v="2"/>
    <n v="3"/>
    <x v="4"/>
    <x v="12"/>
  </r>
  <r>
    <n v="410"/>
    <d v="2023-11-21T00:00:00"/>
    <x v="409"/>
    <x v="1"/>
    <n v="29"/>
    <x v="0"/>
    <x v="1"/>
    <n v="2"/>
    <x v="0"/>
    <x v="4"/>
  </r>
  <r>
    <n v="411"/>
    <d v="2023-05-16T00:00:00"/>
    <x v="410"/>
    <x v="0"/>
    <n v="62"/>
    <x v="0"/>
    <x v="2"/>
    <n v="4"/>
    <x v="0"/>
    <x v="7"/>
  </r>
  <r>
    <n v="412"/>
    <d v="2023-09-16T00:00:00"/>
    <x v="411"/>
    <x v="1"/>
    <n v="19"/>
    <x v="1"/>
    <x v="2"/>
    <n v="4"/>
    <x v="1"/>
    <x v="11"/>
  </r>
  <r>
    <n v="413"/>
    <d v="2023-09-08T00:00:00"/>
    <x v="412"/>
    <x v="1"/>
    <n v="44"/>
    <x v="0"/>
    <x v="0"/>
    <n v="3"/>
    <x v="3"/>
    <x v="8"/>
  </r>
  <r>
    <n v="414"/>
    <d v="2023-05-09T00:00:00"/>
    <x v="413"/>
    <x v="0"/>
    <n v="48"/>
    <x v="0"/>
    <x v="0"/>
    <n v="4"/>
    <x v="3"/>
    <x v="4"/>
  </r>
  <r>
    <n v="415"/>
    <d v="2023-01-27T00:00:00"/>
    <x v="414"/>
    <x v="0"/>
    <n v="53"/>
    <x v="0"/>
    <x v="1"/>
    <n v="2"/>
    <x v="2"/>
    <x v="17"/>
  </r>
  <r>
    <n v="416"/>
    <d v="2023-02-17T00:00:00"/>
    <x v="415"/>
    <x v="0"/>
    <n v="53"/>
    <x v="0"/>
    <x v="2"/>
    <n v="4"/>
    <x v="1"/>
    <x v="11"/>
  </r>
  <r>
    <n v="417"/>
    <d v="2023-11-21T00:00:00"/>
    <x v="416"/>
    <x v="0"/>
    <n v="43"/>
    <x v="0"/>
    <x v="2"/>
    <n v="3"/>
    <x v="4"/>
    <x v="12"/>
  </r>
  <r>
    <n v="418"/>
    <d v="2023-08-05T00:00:00"/>
    <x v="417"/>
    <x v="1"/>
    <n v="60"/>
    <x v="0"/>
    <x v="2"/>
    <n v="2"/>
    <x v="1"/>
    <x v="1"/>
  </r>
  <r>
    <n v="419"/>
    <d v="2023-05-22T00:00:00"/>
    <x v="418"/>
    <x v="1"/>
    <n v="44"/>
    <x v="0"/>
    <x v="1"/>
    <n v="3"/>
    <x v="2"/>
    <x v="15"/>
  </r>
  <r>
    <n v="420"/>
    <d v="2023-01-23T00:00:00"/>
    <x v="419"/>
    <x v="1"/>
    <n v="22"/>
    <x v="1"/>
    <x v="1"/>
    <n v="4"/>
    <x v="1"/>
    <x v="11"/>
  </r>
  <r>
    <n v="421"/>
    <d v="2023-01-02T00:00:00"/>
    <x v="420"/>
    <x v="1"/>
    <n v="37"/>
    <x v="0"/>
    <x v="1"/>
    <n v="3"/>
    <x v="1"/>
    <x v="9"/>
  </r>
  <r>
    <n v="422"/>
    <d v="2023-06-20T00:00:00"/>
    <x v="421"/>
    <x v="1"/>
    <n v="28"/>
    <x v="0"/>
    <x v="1"/>
    <n v="3"/>
    <x v="2"/>
    <x v="15"/>
  </r>
  <r>
    <n v="423"/>
    <d v="2023-03-08T00:00:00"/>
    <x v="422"/>
    <x v="1"/>
    <n v="27"/>
    <x v="0"/>
    <x v="1"/>
    <n v="1"/>
    <x v="3"/>
    <x v="16"/>
  </r>
  <r>
    <n v="424"/>
    <d v="2023-11-23T00:00:00"/>
    <x v="423"/>
    <x v="0"/>
    <n v="57"/>
    <x v="0"/>
    <x v="0"/>
    <n v="4"/>
    <x v="4"/>
    <x v="14"/>
  </r>
  <r>
    <n v="425"/>
    <d v="2023-05-15T00:00:00"/>
    <x v="424"/>
    <x v="1"/>
    <n v="55"/>
    <x v="0"/>
    <x v="2"/>
    <n v="4"/>
    <x v="2"/>
    <x v="10"/>
  </r>
  <r>
    <n v="426"/>
    <d v="2023-03-24T00:00:00"/>
    <x v="425"/>
    <x v="0"/>
    <n v="23"/>
    <x v="1"/>
    <x v="2"/>
    <n v="3"/>
    <x v="0"/>
    <x v="0"/>
  </r>
  <r>
    <n v="427"/>
    <d v="2023-08-15T00:00:00"/>
    <x v="426"/>
    <x v="0"/>
    <n v="25"/>
    <x v="1"/>
    <x v="2"/>
    <n v="1"/>
    <x v="3"/>
    <x v="16"/>
  </r>
  <r>
    <n v="428"/>
    <d v="2023-10-10T00:00:00"/>
    <x v="427"/>
    <x v="1"/>
    <n v="40"/>
    <x v="0"/>
    <x v="2"/>
    <n v="4"/>
    <x v="0"/>
    <x v="7"/>
  </r>
  <r>
    <n v="429"/>
    <d v="2023-12-28T00:00:00"/>
    <x v="428"/>
    <x v="0"/>
    <n v="64"/>
    <x v="0"/>
    <x v="2"/>
    <n v="2"/>
    <x v="3"/>
    <x v="5"/>
  </r>
  <r>
    <n v="430"/>
    <d v="2023-08-07T00:00:00"/>
    <x v="429"/>
    <x v="1"/>
    <n v="43"/>
    <x v="0"/>
    <x v="2"/>
    <n v="3"/>
    <x v="4"/>
    <x v="12"/>
  </r>
  <r>
    <n v="431"/>
    <d v="2023-10-15T00:00:00"/>
    <x v="430"/>
    <x v="0"/>
    <n v="63"/>
    <x v="0"/>
    <x v="2"/>
    <n v="4"/>
    <x v="4"/>
    <x v="14"/>
  </r>
  <r>
    <n v="432"/>
    <d v="2023-01-05T00:00:00"/>
    <x v="431"/>
    <x v="1"/>
    <n v="60"/>
    <x v="0"/>
    <x v="2"/>
    <n v="2"/>
    <x v="1"/>
    <x v="1"/>
  </r>
  <r>
    <n v="433"/>
    <d v="2023-02-27T00:00:00"/>
    <x v="432"/>
    <x v="0"/>
    <n v="29"/>
    <x v="0"/>
    <x v="0"/>
    <n v="4"/>
    <x v="0"/>
    <x v="7"/>
  </r>
  <r>
    <n v="434"/>
    <d v="2023-02-08T00:00:00"/>
    <x v="433"/>
    <x v="1"/>
    <n v="43"/>
    <x v="0"/>
    <x v="2"/>
    <n v="2"/>
    <x v="3"/>
    <x v="5"/>
  </r>
  <r>
    <n v="435"/>
    <d v="2023-12-20T00:00:00"/>
    <x v="434"/>
    <x v="1"/>
    <n v="30"/>
    <x v="0"/>
    <x v="0"/>
    <n v="3"/>
    <x v="4"/>
    <x v="12"/>
  </r>
  <r>
    <n v="436"/>
    <d v="2023-03-18T00:00:00"/>
    <x v="435"/>
    <x v="1"/>
    <n v="57"/>
    <x v="0"/>
    <x v="1"/>
    <n v="4"/>
    <x v="2"/>
    <x v="10"/>
  </r>
  <r>
    <n v="437"/>
    <d v="2023-10-07T00:00:00"/>
    <x v="436"/>
    <x v="1"/>
    <n v="35"/>
    <x v="0"/>
    <x v="2"/>
    <n v="4"/>
    <x v="4"/>
    <x v="14"/>
  </r>
  <r>
    <n v="438"/>
    <d v="2023-01-19T00:00:00"/>
    <x v="437"/>
    <x v="1"/>
    <n v="42"/>
    <x v="0"/>
    <x v="1"/>
    <n v="1"/>
    <x v="2"/>
    <x v="2"/>
  </r>
  <r>
    <n v="439"/>
    <d v="2023-07-09T00:00:00"/>
    <x v="438"/>
    <x v="0"/>
    <n v="50"/>
    <x v="0"/>
    <x v="1"/>
    <n v="3"/>
    <x v="3"/>
    <x v="8"/>
  </r>
  <r>
    <n v="440"/>
    <d v="2023-10-26T00:00:00"/>
    <x v="439"/>
    <x v="0"/>
    <n v="64"/>
    <x v="0"/>
    <x v="1"/>
    <n v="2"/>
    <x v="4"/>
    <x v="6"/>
  </r>
  <r>
    <n v="441"/>
    <d v="2023-10-10T00:00:00"/>
    <x v="440"/>
    <x v="0"/>
    <n v="57"/>
    <x v="0"/>
    <x v="0"/>
    <n v="4"/>
    <x v="4"/>
    <x v="14"/>
  </r>
  <r>
    <n v="442"/>
    <d v="2023-03-17T00:00:00"/>
    <x v="441"/>
    <x v="1"/>
    <n v="60"/>
    <x v="0"/>
    <x v="1"/>
    <n v="4"/>
    <x v="3"/>
    <x v="4"/>
  </r>
  <r>
    <n v="443"/>
    <d v="2023-08-09T00:00:00"/>
    <x v="442"/>
    <x v="0"/>
    <n v="29"/>
    <x v="0"/>
    <x v="1"/>
    <n v="2"/>
    <x v="4"/>
    <x v="6"/>
  </r>
  <r>
    <n v="444"/>
    <d v="2023-03-07T00:00:00"/>
    <x v="443"/>
    <x v="1"/>
    <n v="61"/>
    <x v="0"/>
    <x v="1"/>
    <n v="3"/>
    <x v="2"/>
    <x v="15"/>
  </r>
  <r>
    <n v="445"/>
    <d v="2023-01-22T00:00:00"/>
    <x v="444"/>
    <x v="1"/>
    <n v="53"/>
    <x v="0"/>
    <x v="2"/>
    <n v="1"/>
    <x v="4"/>
    <x v="13"/>
  </r>
  <r>
    <n v="446"/>
    <d v="2023-06-07T00:00:00"/>
    <x v="445"/>
    <x v="0"/>
    <n v="21"/>
    <x v="1"/>
    <x v="2"/>
    <n v="1"/>
    <x v="0"/>
    <x v="5"/>
  </r>
  <r>
    <n v="447"/>
    <d v="2023-07-06T00:00:00"/>
    <x v="446"/>
    <x v="0"/>
    <n v="22"/>
    <x v="1"/>
    <x v="0"/>
    <n v="4"/>
    <x v="1"/>
    <x v="11"/>
  </r>
  <r>
    <n v="448"/>
    <d v="2023-01-21T00:00:00"/>
    <x v="447"/>
    <x v="1"/>
    <n v="54"/>
    <x v="0"/>
    <x v="0"/>
    <n v="2"/>
    <x v="2"/>
    <x v="17"/>
  </r>
  <r>
    <n v="449"/>
    <d v="2023-07-03T00:00:00"/>
    <x v="448"/>
    <x v="0"/>
    <n v="25"/>
    <x v="1"/>
    <x v="2"/>
    <n v="4"/>
    <x v="0"/>
    <x v="7"/>
  </r>
  <r>
    <n v="450"/>
    <d v="2023-04-18T00:00:00"/>
    <x v="449"/>
    <x v="1"/>
    <n v="59"/>
    <x v="0"/>
    <x v="0"/>
    <n v="2"/>
    <x v="3"/>
    <x v="5"/>
  </r>
  <r>
    <n v="451"/>
    <d v="2023-12-16T00:00:00"/>
    <x v="450"/>
    <x v="1"/>
    <n v="45"/>
    <x v="0"/>
    <x v="2"/>
    <n v="1"/>
    <x v="2"/>
    <x v="2"/>
  </r>
  <r>
    <n v="452"/>
    <d v="2023-05-08T00:00:00"/>
    <x v="451"/>
    <x v="1"/>
    <n v="48"/>
    <x v="0"/>
    <x v="1"/>
    <n v="3"/>
    <x v="1"/>
    <x v="9"/>
  </r>
  <r>
    <n v="453"/>
    <d v="2023-12-08T00:00:00"/>
    <x v="452"/>
    <x v="1"/>
    <n v="26"/>
    <x v="0"/>
    <x v="1"/>
    <n v="2"/>
    <x v="1"/>
    <x v="1"/>
  </r>
  <r>
    <n v="454"/>
    <d v="2023-02-22T00:00:00"/>
    <x v="453"/>
    <x v="1"/>
    <n v="46"/>
    <x v="0"/>
    <x v="0"/>
    <n v="1"/>
    <x v="3"/>
    <x v="16"/>
  </r>
  <r>
    <n v="455"/>
    <d v="2023-07-01T00:00:00"/>
    <x v="454"/>
    <x v="0"/>
    <n v="31"/>
    <x v="0"/>
    <x v="2"/>
    <n v="4"/>
    <x v="3"/>
    <x v="4"/>
  </r>
  <r>
    <n v="456"/>
    <d v="2023-10-14T00:00:00"/>
    <x v="455"/>
    <x v="0"/>
    <n v="57"/>
    <x v="0"/>
    <x v="2"/>
    <n v="2"/>
    <x v="2"/>
    <x v="17"/>
  </r>
  <r>
    <n v="457"/>
    <d v="2023-07-28T00:00:00"/>
    <x v="456"/>
    <x v="1"/>
    <n v="58"/>
    <x v="0"/>
    <x v="0"/>
    <n v="3"/>
    <x v="4"/>
    <x v="12"/>
  </r>
  <r>
    <n v="458"/>
    <d v="2023-11-14T00:00:00"/>
    <x v="457"/>
    <x v="1"/>
    <n v="39"/>
    <x v="0"/>
    <x v="2"/>
    <n v="4"/>
    <x v="3"/>
    <x v="4"/>
  </r>
  <r>
    <n v="459"/>
    <d v="2023-03-21T00:00:00"/>
    <x v="458"/>
    <x v="0"/>
    <n v="28"/>
    <x v="0"/>
    <x v="1"/>
    <n v="4"/>
    <x v="4"/>
    <x v="14"/>
  </r>
  <r>
    <n v="460"/>
    <d v="2023-05-02T00:00:00"/>
    <x v="459"/>
    <x v="0"/>
    <n v="40"/>
    <x v="0"/>
    <x v="0"/>
    <n v="1"/>
    <x v="0"/>
    <x v="5"/>
  </r>
  <r>
    <n v="461"/>
    <d v="2023-03-25T00:00:00"/>
    <x v="460"/>
    <x v="1"/>
    <n v="18"/>
    <x v="1"/>
    <x v="0"/>
    <n v="2"/>
    <x v="1"/>
    <x v="1"/>
  </r>
  <r>
    <n v="462"/>
    <d v="2023-04-01T00:00:00"/>
    <x v="461"/>
    <x v="0"/>
    <n v="63"/>
    <x v="0"/>
    <x v="2"/>
    <n v="4"/>
    <x v="4"/>
    <x v="14"/>
  </r>
  <r>
    <n v="463"/>
    <d v="2023-07-31T00:00:00"/>
    <x v="462"/>
    <x v="1"/>
    <n v="54"/>
    <x v="0"/>
    <x v="0"/>
    <n v="3"/>
    <x v="1"/>
    <x v="9"/>
  </r>
  <r>
    <n v="464"/>
    <d v="2023-01-13T00:00:00"/>
    <x v="463"/>
    <x v="0"/>
    <n v="38"/>
    <x v="0"/>
    <x v="2"/>
    <n v="2"/>
    <x v="4"/>
    <x v="6"/>
  </r>
  <r>
    <n v="465"/>
    <d v="2023-04-02T00:00:00"/>
    <x v="464"/>
    <x v="1"/>
    <n v="43"/>
    <x v="0"/>
    <x v="2"/>
    <n v="3"/>
    <x v="0"/>
    <x v="0"/>
  </r>
  <r>
    <n v="466"/>
    <d v="2023-06-20T00:00:00"/>
    <x v="465"/>
    <x v="0"/>
    <n v="63"/>
    <x v="0"/>
    <x v="2"/>
    <n v="4"/>
    <x v="3"/>
    <x v="4"/>
  </r>
  <r>
    <n v="467"/>
    <d v="2023-07-30T00:00:00"/>
    <x v="466"/>
    <x v="1"/>
    <n v="53"/>
    <x v="0"/>
    <x v="2"/>
    <n v="3"/>
    <x v="0"/>
    <x v="0"/>
  </r>
  <r>
    <n v="468"/>
    <d v="2023-12-09T00:00:00"/>
    <x v="467"/>
    <x v="0"/>
    <n v="40"/>
    <x v="0"/>
    <x v="2"/>
    <n v="1"/>
    <x v="3"/>
    <x v="16"/>
  </r>
  <r>
    <n v="469"/>
    <d v="2023-05-08T00:00:00"/>
    <x v="468"/>
    <x v="0"/>
    <n v="18"/>
    <x v="1"/>
    <x v="0"/>
    <n v="3"/>
    <x v="3"/>
    <x v="8"/>
  </r>
  <r>
    <n v="470"/>
    <d v="2023-05-17T00:00:00"/>
    <x v="469"/>
    <x v="1"/>
    <n v="57"/>
    <x v="0"/>
    <x v="1"/>
    <n v="2"/>
    <x v="1"/>
    <x v="1"/>
  </r>
  <r>
    <n v="471"/>
    <d v="2023-03-23T00:00:00"/>
    <x v="470"/>
    <x v="0"/>
    <n v="32"/>
    <x v="0"/>
    <x v="1"/>
    <n v="3"/>
    <x v="0"/>
    <x v="0"/>
  </r>
  <r>
    <n v="472"/>
    <d v="2023-12-26T00:00:00"/>
    <x v="471"/>
    <x v="1"/>
    <n v="38"/>
    <x v="0"/>
    <x v="0"/>
    <n v="3"/>
    <x v="4"/>
    <x v="12"/>
  </r>
  <r>
    <n v="473"/>
    <d v="2023-02-25T00:00:00"/>
    <x v="472"/>
    <x v="0"/>
    <n v="64"/>
    <x v="0"/>
    <x v="0"/>
    <n v="1"/>
    <x v="0"/>
    <x v="5"/>
  </r>
  <r>
    <n v="474"/>
    <d v="2023-07-15T00:00:00"/>
    <x v="473"/>
    <x v="1"/>
    <n v="26"/>
    <x v="0"/>
    <x v="1"/>
    <n v="3"/>
    <x v="1"/>
    <x v="9"/>
  </r>
  <r>
    <n v="475"/>
    <d v="2023-01-20T00:00:00"/>
    <x v="474"/>
    <x v="0"/>
    <n v="26"/>
    <x v="0"/>
    <x v="1"/>
    <n v="3"/>
    <x v="3"/>
    <x v="8"/>
  </r>
  <r>
    <n v="476"/>
    <d v="2023-08-29T00:00:00"/>
    <x v="475"/>
    <x v="1"/>
    <n v="27"/>
    <x v="0"/>
    <x v="1"/>
    <n v="4"/>
    <x v="1"/>
    <x v="11"/>
  </r>
  <r>
    <n v="477"/>
    <d v="2023-04-24T00:00:00"/>
    <x v="476"/>
    <x v="0"/>
    <n v="43"/>
    <x v="0"/>
    <x v="1"/>
    <n v="4"/>
    <x v="2"/>
    <x v="10"/>
  </r>
  <r>
    <n v="478"/>
    <d v="2023-04-13T00:00:00"/>
    <x v="477"/>
    <x v="1"/>
    <n v="58"/>
    <x v="0"/>
    <x v="1"/>
    <n v="2"/>
    <x v="2"/>
    <x v="17"/>
  </r>
  <r>
    <n v="479"/>
    <d v="2023-08-24T00:00:00"/>
    <x v="478"/>
    <x v="0"/>
    <n v="52"/>
    <x v="0"/>
    <x v="2"/>
    <n v="4"/>
    <x v="4"/>
    <x v="14"/>
  </r>
  <r>
    <n v="480"/>
    <d v="2023-06-29T00:00:00"/>
    <x v="479"/>
    <x v="1"/>
    <n v="42"/>
    <x v="0"/>
    <x v="0"/>
    <n v="4"/>
    <x v="1"/>
    <x v="11"/>
  </r>
  <r>
    <n v="481"/>
    <d v="2023-06-06T00:00:00"/>
    <x v="480"/>
    <x v="1"/>
    <n v="43"/>
    <x v="0"/>
    <x v="2"/>
    <n v="4"/>
    <x v="4"/>
    <x v="14"/>
  </r>
  <r>
    <n v="482"/>
    <d v="2023-04-27T00:00:00"/>
    <x v="481"/>
    <x v="1"/>
    <n v="28"/>
    <x v="0"/>
    <x v="1"/>
    <n v="4"/>
    <x v="4"/>
    <x v="14"/>
  </r>
  <r>
    <n v="483"/>
    <d v="2023-04-25T00:00:00"/>
    <x v="482"/>
    <x v="0"/>
    <n v="55"/>
    <x v="0"/>
    <x v="1"/>
    <n v="1"/>
    <x v="2"/>
    <x v="2"/>
  </r>
  <r>
    <n v="484"/>
    <d v="2023-01-13T00:00:00"/>
    <x v="483"/>
    <x v="1"/>
    <n v="19"/>
    <x v="1"/>
    <x v="1"/>
    <n v="4"/>
    <x v="4"/>
    <x v="14"/>
  </r>
  <r>
    <n v="485"/>
    <d v="2023-12-04T00:00:00"/>
    <x v="484"/>
    <x v="0"/>
    <n v="24"/>
    <x v="1"/>
    <x v="2"/>
    <n v="1"/>
    <x v="2"/>
    <x v="2"/>
  </r>
  <r>
    <n v="486"/>
    <d v="2023-04-09T00:00:00"/>
    <x v="485"/>
    <x v="1"/>
    <n v="35"/>
    <x v="0"/>
    <x v="2"/>
    <n v="1"/>
    <x v="3"/>
    <x v="16"/>
  </r>
  <r>
    <n v="487"/>
    <d v="2023-07-24T00:00:00"/>
    <x v="486"/>
    <x v="0"/>
    <n v="44"/>
    <x v="0"/>
    <x v="1"/>
    <n v="4"/>
    <x v="1"/>
    <x v="11"/>
  </r>
  <r>
    <n v="488"/>
    <d v="2023-06-18T00:00:00"/>
    <x v="487"/>
    <x v="1"/>
    <n v="51"/>
    <x v="0"/>
    <x v="2"/>
    <n v="3"/>
    <x v="4"/>
    <x v="12"/>
  </r>
  <r>
    <n v="489"/>
    <d v="2023-05-23T00:00:00"/>
    <x v="488"/>
    <x v="0"/>
    <n v="44"/>
    <x v="0"/>
    <x v="2"/>
    <n v="1"/>
    <x v="2"/>
    <x v="2"/>
  </r>
  <r>
    <n v="490"/>
    <d v="2023-02-05T00:00:00"/>
    <x v="489"/>
    <x v="0"/>
    <n v="34"/>
    <x v="0"/>
    <x v="1"/>
    <n v="3"/>
    <x v="0"/>
    <x v="0"/>
  </r>
  <r>
    <n v="491"/>
    <d v="2023-05-23T00:00:00"/>
    <x v="490"/>
    <x v="1"/>
    <n v="60"/>
    <x v="0"/>
    <x v="2"/>
    <n v="3"/>
    <x v="4"/>
    <x v="12"/>
  </r>
  <r>
    <n v="492"/>
    <d v="2023-06-29T00:00:00"/>
    <x v="491"/>
    <x v="0"/>
    <n v="61"/>
    <x v="0"/>
    <x v="0"/>
    <n v="4"/>
    <x v="3"/>
    <x v="4"/>
  </r>
  <r>
    <n v="493"/>
    <d v="2023-11-25T00:00:00"/>
    <x v="492"/>
    <x v="0"/>
    <n v="41"/>
    <x v="0"/>
    <x v="0"/>
    <n v="2"/>
    <x v="3"/>
    <x v="5"/>
  </r>
  <r>
    <n v="494"/>
    <d v="2023-09-18T00:00:00"/>
    <x v="493"/>
    <x v="1"/>
    <n v="42"/>
    <x v="0"/>
    <x v="0"/>
    <n v="4"/>
    <x v="0"/>
    <x v="7"/>
  </r>
  <r>
    <n v="495"/>
    <d v="2023-07-24T00:00:00"/>
    <x v="494"/>
    <x v="0"/>
    <n v="24"/>
    <x v="1"/>
    <x v="0"/>
    <n v="2"/>
    <x v="2"/>
    <x v="17"/>
  </r>
  <r>
    <n v="496"/>
    <d v="2023-12-14T00:00:00"/>
    <x v="495"/>
    <x v="0"/>
    <n v="23"/>
    <x v="1"/>
    <x v="1"/>
    <n v="2"/>
    <x v="4"/>
    <x v="6"/>
  </r>
  <r>
    <n v="497"/>
    <d v="2023-10-02T00:00:00"/>
    <x v="496"/>
    <x v="0"/>
    <n v="41"/>
    <x v="0"/>
    <x v="1"/>
    <n v="4"/>
    <x v="2"/>
    <x v="10"/>
  </r>
  <r>
    <n v="498"/>
    <d v="2023-06-19T00:00:00"/>
    <x v="497"/>
    <x v="1"/>
    <n v="50"/>
    <x v="0"/>
    <x v="1"/>
    <n v="4"/>
    <x v="3"/>
    <x v="4"/>
  </r>
  <r>
    <n v="499"/>
    <d v="2023-01-15T00:00:00"/>
    <x v="498"/>
    <x v="0"/>
    <n v="46"/>
    <x v="0"/>
    <x v="0"/>
    <n v="2"/>
    <x v="2"/>
    <x v="17"/>
  </r>
  <r>
    <n v="500"/>
    <d v="2023-03-01T00:00:00"/>
    <x v="499"/>
    <x v="1"/>
    <n v="60"/>
    <x v="0"/>
    <x v="0"/>
    <n v="4"/>
    <x v="3"/>
    <x v="4"/>
  </r>
  <r>
    <n v="501"/>
    <d v="2023-05-14T00:00:00"/>
    <x v="500"/>
    <x v="0"/>
    <n v="39"/>
    <x v="0"/>
    <x v="2"/>
    <n v="2"/>
    <x v="2"/>
    <x v="17"/>
  </r>
  <r>
    <n v="502"/>
    <d v="2023-04-02T00:00:00"/>
    <x v="501"/>
    <x v="0"/>
    <n v="43"/>
    <x v="0"/>
    <x v="2"/>
    <n v="3"/>
    <x v="0"/>
    <x v="0"/>
  </r>
  <r>
    <n v="503"/>
    <d v="2023-10-25T00:00:00"/>
    <x v="502"/>
    <x v="0"/>
    <n v="45"/>
    <x v="0"/>
    <x v="0"/>
    <n v="4"/>
    <x v="1"/>
    <x v="11"/>
  </r>
  <r>
    <n v="504"/>
    <d v="2023-05-16T00:00:00"/>
    <x v="503"/>
    <x v="1"/>
    <n v="38"/>
    <x v="0"/>
    <x v="0"/>
    <n v="3"/>
    <x v="0"/>
    <x v="0"/>
  </r>
  <r>
    <n v="505"/>
    <d v="2023-01-20T00:00:00"/>
    <x v="504"/>
    <x v="0"/>
    <n v="24"/>
    <x v="1"/>
    <x v="0"/>
    <n v="1"/>
    <x v="0"/>
    <x v="5"/>
  </r>
  <r>
    <n v="506"/>
    <d v="2023-02-25T00:00:00"/>
    <x v="505"/>
    <x v="0"/>
    <n v="34"/>
    <x v="0"/>
    <x v="0"/>
    <n v="3"/>
    <x v="1"/>
    <x v="9"/>
  </r>
  <r>
    <n v="507"/>
    <d v="2023-11-02T00:00:00"/>
    <x v="506"/>
    <x v="1"/>
    <n v="37"/>
    <x v="0"/>
    <x v="2"/>
    <n v="3"/>
    <x v="1"/>
    <x v="9"/>
  </r>
  <r>
    <n v="508"/>
    <d v="2023-08-11T00:00:00"/>
    <x v="507"/>
    <x v="0"/>
    <n v="58"/>
    <x v="0"/>
    <x v="0"/>
    <n v="2"/>
    <x v="4"/>
    <x v="6"/>
  </r>
  <r>
    <n v="509"/>
    <d v="2023-06-26T00:00:00"/>
    <x v="508"/>
    <x v="1"/>
    <n v="37"/>
    <x v="0"/>
    <x v="2"/>
    <n v="3"/>
    <x v="4"/>
    <x v="12"/>
  </r>
  <r>
    <n v="510"/>
    <d v="2023-06-10T00:00:00"/>
    <x v="509"/>
    <x v="1"/>
    <n v="39"/>
    <x v="0"/>
    <x v="0"/>
    <n v="4"/>
    <x v="0"/>
    <x v="7"/>
  </r>
  <r>
    <n v="511"/>
    <d v="2023-08-12T00:00:00"/>
    <x v="510"/>
    <x v="0"/>
    <n v="45"/>
    <x v="0"/>
    <x v="0"/>
    <n v="2"/>
    <x v="0"/>
    <x v="4"/>
  </r>
  <r>
    <n v="512"/>
    <d v="2023-11-07T00:00:00"/>
    <x v="511"/>
    <x v="1"/>
    <n v="57"/>
    <x v="0"/>
    <x v="0"/>
    <n v="1"/>
    <x v="3"/>
    <x v="16"/>
  </r>
  <r>
    <n v="513"/>
    <d v="2023-09-19T00:00:00"/>
    <x v="512"/>
    <x v="0"/>
    <n v="24"/>
    <x v="1"/>
    <x v="2"/>
    <n v="4"/>
    <x v="3"/>
    <x v="4"/>
  </r>
  <r>
    <n v="514"/>
    <d v="2023-03-01T00:00:00"/>
    <x v="513"/>
    <x v="1"/>
    <n v="18"/>
    <x v="1"/>
    <x v="2"/>
    <n v="1"/>
    <x v="4"/>
    <x v="13"/>
  </r>
  <r>
    <n v="515"/>
    <d v="2023-07-17T00:00:00"/>
    <x v="514"/>
    <x v="1"/>
    <n v="49"/>
    <x v="0"/>
    <x v="1"/>
    <n v="3"/>
    <x v="4"/>
    <x v="12"/>
  </r>
  <r>
    <n v="516"/>
    <d v="2023-10-23T00:00:00"/>
    <x v="515"/>
    <x v="0"/>
    <n v="30"/>
    <x v="0"/>
    <x v="0"/>
    <n v="4"/>
    <x v="3"/>
    <x v="4"/>
  </r>
  <r>
    <n v="517"/>
    <d v="2023-04-08T00:00:00"/>
    <x v="516"/>
    <x v="1"/>
    <n v="47"/>
    <x v="0"/>
    <x v="1"/>
    <n v="4"/>
    <x v="3"/>
    <x v="4"/>
  </r>
  <r>
    <n v="518"/>
    <d v="2023-05-11T00:00:00"/>
    <x v="517"/>
    <x v="1"/>
    <n v="40"/>
    <x v="0"/>
    <x v="1"/>
    <n v="1"/>
    <x v="2"/>
    <x v="2"/>
  </r>
  <r>
    <n v="519"/>
    <d v="2023-01-23T00:00:00"/>
    <x v="518"/>
    <x v="1"/>
    <n v="36"/>
    <x v="0"/>
    <x v="2"/>
    <n v="4"/>
    <x v="2"/>
    <x v="10"/>
  </r>
  <r>
    <n v="520"/>
    <d v="2023-12-29T00:00:00"/>
    <x v="519"/>
    <x v="1"/>
    <n v="49"/>
    <x v="0"/>
    <x v="2"/>
    <n v="4"/>
    <x v="3"/>
    <x v="4"/>
  </r>
  <r>
    <n v="521"/>
    <d v="2023-08-12T00:00:00"/>
    <x v="520"/>
    <x v="1"/>
    <n v="47"/>
    <x v="0"/>
    <x v="1"/>
    <n v="4"/>
    <x v="2"/>
    <x v="10"/>
  </r>
  <r>
    <n v="522"/>
    <d v="2023-01-01T00:00:00"/>
    <x v="521"/>
    <x v="0"/>
    <n v="46"/>
    <x v="0"/>
    <x v="0"/>
    <n v="3"/>
    <x v="1"/>
    <x v="9"/>
  </r>
  <r>
    <n v="523"/>
    <d v="2023-09-24T00:00:00"/>
    <x v="522"/>
    <x v="1"/>
    <n v="62"/>
    <x v="0"/>
    <x v="2"/>
    <n v="1"/>
    <x v="4"/>
    <x v="13"/>
  </r>
  <r>
    <n v="524"/>
    <d v="2023-10-03T00:00:00"/>
    <x v="523"/>
    <x v="0"/>
    <n v="46"/>
    <x v="0"/>
    <x v="0"/>
    <n v="4"/>
    <x v="4"/>
    <x v="14"/>
  </r>
  <r>
    <n v="525"/>
    <d v="2023-12-18T00:00:00"/>
    <x v="524"/>
    <x v="1"/>
    <n v="47"/>
    <x v="0"/>
    <x v="0"/>
    <n v="2"/>
    <x v="3"/>
    <x v="5"/>
  </r>
  <r>
    <n v="526"/>
    <d v="2023-12-10T00:00:00"/>
    <x v="525"/>
    <x v="0"/>
    <n v="33"/>
    <x v="0"/>
    <x v="1"/>
    <n v="2"/>
    <x v="0"/>
    <x v="4"/>
  </r>
  <r>
    <n v="527"/>
    <d v="2023-04-11T00:00:00"/>
    <x v="526"/>
    <x v="0"/>
    <n v="57"/>
    <x v="0"/>
    <x v="1"/>
    <n v="2"/>
    <x v="3"/>
    <x v="5"/>
  </r>
  <r>
    <n v="528"/>
    <d v="2023-07-06T00:00:00"/>
    <x v="527"/>
    <x v="1"/>
    <n v="36"/>
    <x v="0"/>
    <x v="1"/>
    <n v="2"/>
    <x v="2"/>
    <x v="17"/>
  </r>
  <r>
    <n v="529"/>
    <d v="2023-08-09T00:00:00"/>
    <x v="528"/>
    <x v="1"/>
    <n v="35"/>
    <x v="0"/>
    <x v="1"/>
    <n v="3"/>
    <x v="0"/>
    <x v="0"/>
  </r>
  <r>
    <n v="530"/>
    <d v="2023-02-05T00:00:00"/>
    <x v="529"/>
    <x v="1"/>
    <n v="18"/>
    <x v="1"/>
    <x v="2"/>
    <n v="4"/>
    <x v="2"/>
    <x v="10"/>
  </r>
  <r>
    <n v="531"/>
    <d v="2023-12-07T00:00:00"/>
    <x v="530"/>
    <x v="0"/>
    <n v="31"/>
    <x v="0"/>
    <x v="2"/>
    <n v="1"/>
    <x v="1"/>
    <x v="3"/>
  </r>
  <r>
    <n v="532"/>
    <d v="2023-06-19T00:00:00"/>
    <x v="531"/>
    <x v="1"/>
    <n v="64"/>
    <x v="0"/>
    <x v="1"/>
    <n v="4"/>
    <x v="2"/>
    <x v="10"/>
  </r>
  <r>
    <n v="533"/>
    <d v="2023-11-16T00:00:00"/>
    <x v="532"/>
    <x v="0"/>
    <n v="19"/>
    <x v="1"/>
    <x v="2"/>
    <n v="3"/>
    <x v="1"/>
    <x v="9"/>
  </r>
  <r>
    <n v="534"/>
    <d v="2023-06-10T00:00:00"/>
    <x v="533"/>
    <x v="0"/>
    <n v="45"/>
    <x v="0"/>
    <x v="1"/>
    <n v="2"/>
    <x v="1"/>
    <x v="1"/>
  </r>
  <r>
    <n v="535"/>
    <d v="2023-12-06T00:00:00"/>
    <x v="534"/>
    <x v="0"/>
    <n v="47"/>
    <x v="0"/>
    <x v="0"/>
    <n v="3"/>
    <x v="2"/>
    <x v="15"/>
  </r>
  <r>
    <n v="536"/>
    <d v="2023-03-05T00:00:00"/>
    <x v="535"/>
    <x v="1"/>
    <n v="55"/>
    <x v="0"/>
    <x v="0"/>
    <n v="4"/>
    <x v="2"/>
    <x v="10"/>
  </r>
  <r>
    <n v="537"/>
    <d v="2023-06-03T00:00:00"/>
    <x v="536"/>
    <x v="1"/>
    <n v="21"/>
    <x v="1"/>
    <x v="0"/>
    <n v="1"/>
    <x v="1"/>
    <x v="3"/>
  </r>
  <r>
    <n v="538"/>
    <d v="2023-09-17T00:00:00"/>
    <x v="537"/>
    <x v="0"/>
    <n v="18"/>
    <x v="1"/>
    <x v="1"/>
    <n v="3"/>
    <x v="0"/>
    <x v="0"/>
  </r>
  <r>
    <n v="539"/>
    <d v="2023-06-08T00:00:00"/>
    <x v="538"/>
    <x v="0"/>
    <n v="25"/>
    <x v="1"/>
    <x v="0"/>
    <n v="1"/>
    <x v="1"/>
    <x v="3"/>
  </r>
  <r>
    <n v="540"/>
    <d v="2023-12-08T00:00:00"/>
    <x v="539"/>
    <x v="1"/>
    <n v="46"/>
    <x v="0"/>
    <x v="2"/>
    <n v="3"/>
    <x v="4"/>
    <x v="12"/>
  </r>
  <r>
    <n v="541"/>
    <d v="2023-07-29T00:00:00"/>
    <x v="540"/>
    <x v="0"/>
    <n v="56"/>
    <x v="0"/>
    <x v="0"/>
    <n v="1"/>
    <x v="1"/>
    <x v="3"/>
  </r>
  <r>
    <n v="542"/>
    <d v="2023-06-17T00:00:00"/>
    <x v="541"/>
    <x v="1"/>
    <n v="20"/>
    <x v="1"/>
    <x v="0"/>
    <n v="1"/>
    <x v="0"/>
    <x v="5"/>
  </r>
  <r>
    <n v="543"/>
    <d v="2023-07-26T00:00:00"/>
    <x v="542"/>
    <x v="0"/>
    <n v="49"/>
    <x v="0"/>
    <x v="0"/>
    <n v="2"/>
    <x v="4"/>
    <x v="6"/>
  </r>
  <r>
    <n v="544"/>
    <d v="2023-12-23T00:00:00"/>
    <x v="543"/>
    <x v="1"/>
    <n v="27"/>
    <x v="0"/>
    <x v="2"/>
    <n v="1"/>
    <x v="3"/>
    <x v="16"/>
  </r>
  <r>
    <n v="545"/>
    <d v="2023-06-01T00:00:00"/>
    <x v="544"/>
    <x v="0"/>
    <n v="27"/>
    <x v="0"/>
    <x v="1"/>
    <n v="2"/>
    <x v="3"/>
    <x v="5"/>
  </r>
  <r>
    <n v="546"/>
    <d v="2023-10-11T00:00:00"/>
    <x v="545"/>
    <x v="1"/>
    <n v="36"/>
    <x v="0"/>
    <x v="2"/>
    <n v="4"/>
    <x v="0"/>
    <x v="7"/>
  </r>
  <r>
    <n v="547"/>
    <d v="2023-03-07T00:00:00"/>
    <x v="546"/>
    <x v="0"/>
    <n v="63"/>
    <x v="0"/>
    <x v="1"/>
    <n v="4"/>
    <x v="1"/>
    <x v="11"/>
  </r>
  <r>
    <n v="548"/>
    <d v="2023-04-09T00:00:00"/>
    <x v="547"/>
    <x v="1"/>
    <n v="51"/>
    <x v="0"/>
    <x v="1"/>
    <n v="2"/>
    <x v="2"/>
    <x v="17"/>
  </r>
  <r>
    <n v="549"/>
    <d v="2023-08-04T00:00:00"/>
    <x v="548"/>
    <x v="1"/>
    <n v="50"/>
    <x v="0"/>
    <x v="0"/>
    <n v="2"/>
    <x v="0"/>
    <x v="4"/>
  </r>
  <r>
    <n v="550"/>
    <d v="2023-12-07T00:00:00"/>
    <x v="549"/>
    <x v="0"/>
    <n v="40"/>
    <x v="0"/>
    <x v="1"/>
    <n v="3"/>
    <x v="4"/>
    <x v="12"/>
  </r>
  <r>
    <n v="551"/>
    <d v="2023-07-14T00:00:00"/>
    <x v="550"/>
    <x v="0"/>
    <n v="45"/>
    <x v="0"/>
    <x v="2"/>
    <n v="3"/>
    <x v="4"/>
    <x v="12"/>
  </r>
  <r>
    <n v="552"/>
    <d v="2023-12-13T00:00:00"/>
    <x v="551"/>
    <x v="1"/>
    <n v="49"/>
    <x v="0"/>
    <x v="2"/>
    <n v="3"/>
    <x v="3"/>
    <x v="8"/>
  </r>
  <r>
    <n v="553"/>
    <d v="2023-03-31T00:00:00"/>
    <x v="552"/>
    <x v="0"/>
    <n v="24"/>
    <x v="1"/>
    <x v="1"/>
    <n v="4"/>
    <x v="4"/>
    <x v="14"/>
  </r>
  <r>
    <n v="554"/>
    <d v="2023-11-12T00:00:00"/>
    <x v="553"/>
    <x v="1"/>
    <n v="46"/>
    <x v="0"/>
    <x v="0"/>
    <n v="3"/>
    <x v="0"/>
    <x v="0"/>
  </r>
  <r>
    <n v="555"/>
    <d v="2023-10-19T00:00:00"/>
    <x v="554"/>
    <x v="0"/>
    <n v="25"/>
    <x v="1"/>
    <x v="0"/>
    <n v="1"/>
    <x v="4"/>
    <x v="13"/>
  </r>
  <r>
    <n v="556"/>
    <d v="2023-06-04T00:00:00"/>
    <x v="555"/>
    <x v="1"/>
    <n v="18"/>
    <x v="1"/>
    <x v="2"/>
    <n v="1"/>
    <x v="0"/>
    <x v="5"/>
  </r>
  <r>
    <n v="557"/>
    <d v="2023-07-27T00:00:00"/>
    <x v="556"/>
    <x v="1"/>
    <n v="20"/>
    <x v="1"/>
    <x v="0"/>
    <n v="3"/>
    <x v="2"/>
    <x v="15"/>
  </r>
  <r>
    <n v="558"/>
    <d v="2023-10-08T00:00:00"/>
    <x v="557"/>
    <x v="1"/>
    <n v="41"/>
    <x v="0"/>
    <x v="1"/>
    <n v="1"/>
    <x v="3"/>
    <x v="16"/>
  </r>
  <r>
    <n v="559"/>
    <d v="2023-01-01T00:00:00"/>
    <x v="558"/>
    <x v="1"/>
    <n v="40"/>
    <x v="0"/>
    <x v="1"/>
    <n v="4"/>
    <x v="4"/>
    <x v="14"/>
  </r>
  <r>
    <n v="560"/>
    <d v="2023-06-05T00:00:00"/>
    <x v="559"/>
    <x v="1"/>
    <n v="25"/>
    <x v="1"/>
    <x v="2"/>
    <n v="1"/>
    <x v="0"/>
    <x v="5"/>
  </r>
  <r>
    <n v="561"/>
    <d v="2023-05-27T00:00:00"/>
    <x v="560"/>
    <x v="1"/>
    <n v="64"/>
    <x v="0"/>
    <x v="1"/>
    <n v="4"/>
    <x v="1"/>
    <x v="11"/>
  </r>
  <r>
    <n v="562"/>
    <d v="2023-04-18T00:00:00"/>
    <x v="561"/>
    <x v="0"/>
    <n v="54"/>
    <x v="0"/>
    <x v="2"/>
    <n v="2"/>
    <x v="3"/>
    <x v="5"/>
  </r>
  <r>
    <n v="563"/>
    <d v="2023-08-09T00:00:00"/>
    <x v="562"/>
    <x v="0"/>
    <n v="20"/>
    <x v="1"/>
    <x v="1"/>
    <n v="2"/>
    <x v="2"/>
    <x v="17"/>
  </r>
  <r>
    <n v="564"/>
    <d v="2023-10-24T00:00:00"/>
    <x v="563"/>
    <x v="0"/>
    <n v="50"/>
    <x v="0"/>
    <x v="2"/>
    <n v="2"/>
    <x v="0"/>
    <x v="4"/>
  </r>
  <r>
    <n v="565"/>
    <d v="2023-11-07T00:00:00"/>
    <x v="564"/>
    <x v="1"/>
    <n v="45"/>
    <x v="0"/>
    <x v="0"/>
    <n v="2"/>
    <x v="2"/>
    <x v="17"/>
  </r>
  <r>
    <n v="566"/>
    <d v="2023-12-02T00:00:00"/>
    <x v="565"/>
    <x v="1"/>
    <n v="64"/>
    <x v="0"/>
    <x v="1"/>
    <n v="1"/>
    <x v="2"/>
    <x v="2"/>
  </r>
  <r>
    <n v="567"/>
    <d v="2023-06-14T00:00:00"/>
    <x v="566"/>
    <x v="1"/>
    <n v="25"/>
    <x v="1"/>
    <x v="1"/>
    <n v="3"/>
    <x v="4"/>
    <x v="12"/>
  </r>
  <r>
    <n v="568"/>
    <d v="2023-08-27T00:00:00"/>
    <x v="567"/>
    <x v="1"/>
    <n v="51"/>
    <x v="0"/>
    <x v="2"/>
    <n v="1"/>
    <x v="4"/>
    <x v="13"/>
  </r>
  <r>
    <n v="569"/>
    <d v="2023-08-15T00:00:00"/>
    <x v="568"/>
    <x v="0"/>
    <n v="52"/>
    <x v="0"/>
    <x v="2"/>
    <n v="4"/>
    <x v="0"/>
    <x v="7"/>
  </r>
  <r>
    <n v="570"/>
    <d v="2023-08-15T00:00:00"/>
    <x v="569"/>
    <x v="0"/>
    <n v="49"/>
    <x v="0"/>
    <x v="1"/>
    <n v="1"/>
    <x v="1"/>
    <x v="3"/>
  </r>
  <r>
    <n v="571"/>
    <d v="2023-12-12T00:00:00"/>
    <x v="570"/>
    <x v="1"/>
    <n v="41"/>
    <x v="0"/>
    <x v="2"/>
    <n v="1"/>
    <x v="0"/>
    <x v="5"/>
  </r>
  <r>
    <n v="572"/>
    <d v="2023-04-20T00:00:00"/>
    <x v="571"/>
    <x v="0"/>
    <n v="31"/>
    <x v="0"/>
    <x v="1"/>
    <n v="4"/>
    <x v="1"/>
    <x v="11"/>
  </r>
  <r>
    <n v="573"/>
    <d v="2023-09-19T00:00:00"/>
    <x v="572"/>
    <x v="0"/>
    <n v="49"/>
    <x v="0"/>
    <x v="0"/>
    <n v="2"/>
    <x v="2"/>
    <x v="17"/>
  </r>
  <r>
    <n v="574"/>
    <d v="2023-08-31T00:00:00"/>
    <x v="573"/>
    <x v="1"/>
    <n v="63"/>
    <x v="0"/>
    <x v="2"/>
    <n v="2"/>
    <x v="3"/>
    <x v="5"/>
  </r>
  <r>
    <n v="575"/>
    <d v="2023-03-28T00:00:00"/>
    <x v="574"/>
    <x v="0"/>
    <n v="60"/>
    <x v="0"/>
    <x v="1"/>
    <n v="2"/>
    <x v="0"/>
    <x v="4"/>
  </r>
  <r>
    <n v="576"/>
    <d v="2023-12-04T00:00:00"/>
    <x v="575"/>
    <x v="1"/>
    <n v="33"/>
    <x v="0"/>
    <x v="0"/>
    <n v="3"/>
    <x v="0"/>
    <x v="0"/>
  </r>
  <r>
    <n v="577"/>
    <d v="2023-02-13T00:00:00"/>
    <x v="576"/>
    <x v="0"/>
    <n v="21"/>
    <x v="1"/>
    <x v="0"/>
    <n v="4"/>
    <x v="1"/>
    <x v="11"/>
  </r>
  <r>
    <n v="578"/>
    <d v="2023-05-26T00:00:00"/>
    <x v="577"/>
    <x v="1"/>
    <n v="54"/>
    <x v="0"/>
    <x v="1"/>
    <n v="4"/>
    <x v="2"/>
    <x v="10"/>
  </r>
  <r>
    <n v="579"/>
    <d v="2023-09-21T00:00:00"/>
    <x v="578"/>
    <x v="1"/>
    <n v="38"/>
    <x v="0"/>
    <x v="2"/>
    <n v="1"/>
    <x v="2"/>
    <x v="2"/>
  </r>
  <r>
    <n v="580"/>
    <d v="2023-12-06T00:00:00"/>
    <x v="579"/>
    <x v="1"/>
    <n v="31"/>
    <x v="0"/>
    <x v="1"/>
    <n v="3"/>
    <x v="1"/>
    <x v="9"/>
  </r>
  <r>
    <n v="581"/>
    <d v="2023-11-21T00:00:00"/>
    <x v="580"/>
    <x v="1"/>
    <n v="48"/>
    <x v="0"/>
    <x v="0"/>
    <n v="2"/>
    <x v="2"/>
    <x v="17"/>
  </r>
  <r>
    <n v="582"/>
    <d v="2023-11-14T00:00:00"/>
    <x v="581"/>
    <x v="0"/>
    <n v="35"/>
    <x v="0"/>
    <x v="1"/>
    <n v="3"/>
    <x v="4"/>
    <x v="12"/>
  </r>
  <r>
    <n v="583"/>
    <d v="2023-06-21T00:00:00"/>
    <x v="582"/>
    <x v="1"/>
    <n v="24"/>
    <x v="1"/>
    <x v="2"/>
    <n v="4"/>
    <x v="3"/>
    <x v="4"/>
  </r>
  <r>
    <n v="584"/>
    <d v="2023-02-17T00:00:00"/>
    <x v="583"/>
    <x v="1"/>
    <n v="27"/>
    <x v="0"/>
    <x v="0"/>
    <n v="4"/>
    <x v="0"/>
    <x v="7"/>
  </r>
  <r>
    <n v="585"/>
    <d v="2023-05-01T00:00:00"/>
    <x v="584"/>
    <x v="1"/>
    <n v="24"/>
    <x v="1"/>
    <x v="1"/>
    <n v="1"/>
    <x v="3"/>
    <x v="16"/>
  </r>
  <r>
    <n v="586"/>
    <d v="2023-12-11T00:00:00"/>
    <x v="585"/>
    <x v="0"/>
    <n v="50"/>
    <x v="0"/>
    <x v="2"/>
    <n v="1"/>
    <x v="0"/>
    <x v="5"/>
  </r>
  <r>
    <n v="587"/>
    <d v="2023-06-08T00:00:00"/>
    <x v="586"/>
    <x v="1"/>
    <n v="40"/>
    <x v="0"/>
    <x v="0"/>
    <n v="4"/>
    <x v="4"/>
    <x v="14"/>
  </r>
  <r>
    <n v="588"/>
    <d v="2023-04-26T00:00:00"/>
    <x v="587"/>
    <x v="0"/>
    <n v="38"/>
    <x v="0"/>
    <x v="2"/>
    <n v="2"/>
    <x v="2"/>
    <x v="17"/>
  </r>
  <r>
    <n v="589"/>
    <d v="2023-04-12T00:00:00"/>
    <x v="588"/>
    <x v="1"/>
    <n v="36"/>
    <x v="0"/>
    <x v="0"/>
    <n v="2"/>
    <x v="1"/>
    <x v="1"/>
  </r>
  <r>
    <n v="590"/>
    <d v="2023-03-17T00:00:00"/>
    <x v="589"/>
    <x v="0"/>
    <n v="36"/>
    <x v="0"/>
    <x v="1"/>
    <n v="3"/>
    <x v="4"/>
    <x v="12"/>
  </r>
  <r>
    <n v="591"/>
    <d v="2023-01-13T00:00:00"/>
    <x v="590"/>
    <x v="0"/>
    <n v="53"/>
    <x v="0"/>
    <x v="2"/>
    <n v="4"/>
    <x v="3"/>
    <x v="4"/>
  </r>
  <r>
    <n v="592"/>
    <d v="2023-01-24T00:00:00"/>
    <x v="591"/>
    <x v="1"/>
    <n v="46"/>
    <x v="0"/>
    <x v="0"/>
    <n v="4"/>
    <x v="1"/>
    <x v="11"/>
  </r>
  <r>
    <n v="593"/>
    <d v="2023-05-06T00:00:00"/>
    <x v="592"/>
    <x v="0"/>
    <n v="35"/>
    <x v="0"/>
    <x v="2"/>
    <n v="2"/>
    <x v="2"/>
    <x v="17"/>
  </r>
  <r>
    <n v="594"/>
    <d v="2023-09-01T00:00:00"/>
    <x v="593"/>
    <x v="1"/>
    <n v="19"/>
    <x v="1"/>
    <x v="2"/>
    <n v="2"/>
    <x v="4"/>
    <x v="6"/>
  </r>
  <r>
    <n v="595"/>
    <d v="2023-11-09T00:00:00"/>
    <x v="594"/>
    <x v="1"/>
    <n v="18"/>
    <x v="1"/>
    <x v="1"/>
    <n v="4"/>
    <x v="1"/>
    <x v="11"/>
  </r>
  <r>
    <n v="596"/>
    <d v="2023-02-07T00:00:00"/>
    <x v="595"/>
    <x v="1"/>
    <n v="64"/>
    <x v="0"/>
    <x v="2"/>
    <n v="1"/>
    <x v="4"/>
    <x v="13"/>
  </r>
  <r>
    <n v="597"/>
    <d v="2023-08-22T00:00:00"/>
    <x v="596"/>
    <x v="0"/>
    <n v="22"/>
    <x v="1"/>
    <x v="0"/>
    <n v="4"/>
    <x v="4"/>
    <x v="14"/>
  </r>
  <r>
    <n v="598"/>
    <d v="2023-08-01T00:00:00"/>
    <x v="597"/>
    <x v="0"/>
    <n v="37"/>
    <x v="0"/>
    <x v="0"/>
    <n v="4"/>
    <x v="2"/>
    <x v="10"/>
  </r>
  <r>
    <n v="599"/>
    <d v="2023-11-19T00:00:00"/>
    <x v="598"/>
    <x v="1"/>
    <n v="28"/>
    <x v="0"/>
    <x v="0"/>
    <n v="2"/>
    <x v="0"/>
    <x v="4"/>
  </r>
  <r>
    <n v="600"/>
    <d v="2023-10-22T00:00:00"/>
    <x v="599"/>
    <x v="1"/>
    <n v="59"/>
    <x v="0"/>
    <x v="0"/>
    <n v="2"/>
    <x v="1"/>
    <x v="1"/>
  </r>
  <r>
    <n v="601"/>
    <d v="2023-04-10T00:00:00"/>
    <x v="600"/>
    <x v="0"/>
    <n v="19"/>
    <x v="1"/>
    <x v="1"/>
    <n v="1"/>
    <x v="2"/>
    <x v="2"/>
  </r>
  <r>
    <n v="602"/>
    <d v="2023-12-23T00:00:00"/>
    <x v="601"/>
    <x v="1"/>
    <n v="20"/>
    <x v="1"/>
    <x v="2"/>
    <n v="1"/>
    <x v="4"/>
    <x v="13"/>
  </r>
  <r>
    <n v="603"/>
    <d v="2023-07-16T00:00:00"/>
    <x v="602"/>
    <x v="1"/>
    <n v="40"/>
    <x v="0"/>
    <x v="1"/>
    <n v="3"/>
    <x v="2"/>
    <x v="15"/>
  </r>
  <r>
    <n v="604"/>
    <d v="2023-09-11T00:00:00"/>
    <x v="603"/>
    <x v="1"/>
    <n v="29"/>
    <x v="0"/>
    <x v="2"/>
    <n v="4"/>
    <x v="0"/>
    <x v="7"/>
  </r>
  <r>
    <n v="605"/>
    <d v="2023-07-24T00:00:00"/>
    <x v="604"/>
    <x v="0"/>
    <n v="37"/>
    <x v="0"/>
    <x v="2"/>
    <n v="2"/>
    <x v="1"/>
    <x v="1"/>
  </r>
  <r>
    <n v="606"/>
    <d v="2023-05-05T00:00:00"/>
    <x v="605"/>
    <x v="0"/>
    <n v="22"/>
    <x v="1"/>
    <x v="2"/>
    <n v="1"/>
    <x v="0"/>
    <x v="5"/>
  </r>
  <r>
    <n v="607"/>
    <d v="2023-03-17T00:00:00"/>
    <x v="606"/>
    <x v="0"/>
    <n v="54"/>
    <x v="0"/>
    <x v="1"/>
    <n v="3"/>
    <x v="3"/>
    <x v="8"/>
  </r>
  <r>
    <n v="608"/>
    <d v="2023-12-02T00:00:00"/>
    <x v="607"/>
    <x v="1"/>
    <n v="55"/>
    <x v="0"/>
    <x v="2"/>
    <n v="3"/>
    <x v="1"/>
    <x v="9"/>
  </r>
  <r>
    <n v="609"/>
    <d v="2023-12-19T00:00:00"/>
    <x v="608"/>
    <x v="1"/>
    <n v="47"/>
    <x v="0"/>
    <x v="1"/>
    <n v="2"/>
    <x v="0"/>
    <x v="4"/>
  </r>
  <r>
    <n v="610"/>
    <d v="2023-01-03T00:00:00"/>
    <x v="609"/>
    <x v="1"/>
    <n v="26"/>
    <x v="0"/>
    <x v="0"/>
    <n v="2"/>
    <x v="4"/>
    <x v="6"/>
  </r>
  <r>
    <n v="611"/>
    <d v="2023-02-24T00:00:00"/>
    <x v="610"/>
    <x v="0"/>
    <n v="51"/>
    <x v="0"/>
    <x v="0"/>
    <n v="3"/>
    <x v="1"/>
    <x v="9"/>
  </r>
  <r>
    <n v="612"/>
    <d v="2023-08-06T00:00:00"/>
    <x v="611"/>
    <x v="1"/>
    <n v="61"/>
    <x v="0"/>
    <x v="2"/>
    <n v="1"/>
    <x v="1"/>
    <x v="3"/>
  </r>
  <r>
    <n v="613"/>
    <d v="2023-04-23T00:00:00"/>
    <x v="612"/>
    <x v="1"/>
    <n v="52"/>
    <x v="0"/>
    <x v="1"/>
    <n v="3"/>
    <x v="2"/>
    <x v="15"/>
  </r>
  <r>
    <n v="614"/>
    <d v="2023-04-01T00:00:00"/>
    <x v="613"/>
    <x v="1"/>
    <n v="39"/>
    <x v="0"/>
    <x v="0"/>
    <n v="4"/>
    <x v="4"/>
    <x v="14"/>
  </r>
  <r>
    <n v="615"/>
    <d v="2023-12-23T00:00:00"/>
    <x v="614"/>
    <x v="1"/>
    <n v="61"/>
    <x v="0"/>
    <x v="1"/>
    <n v="4"/>
    <x v="3"/>
    <x v="4"/>
  </r>
  <r>
    <n v="616"/>
    <d v="2023-09-23T00:00:00"/>
    <x v="615"/>
    <x v="0"/>
    <n v="41"/>
    <x v="0"/>
    <x v="1"/>
    <n v="2"/>
    <x v="0"/>
    <x v="4"/>
  </r>
  <r>
    <n v="617"/>
    <d v="2023-08-26T00:00:00"/>
    <x v="616"/>
    <x v="0"/>
    <n v="34"/>
    <x v="0"/>
    <x v="2"/>
    <n v="1"/>
    <x v="2"/>
    <x v="2"/>
  </r>
  <r>
    <n v="618"/>
    <d v="2023-01-26T00:00:00"/>
    <x v="617"/>
    <x v="1"/>
    <n v="27"/>
    <x v="0"/>
    <x v="0"/>
    <n v="1"/>
    <x v="0"/>
    <x v="5"/>
  </r>
  <r>
    <n v="619"/>
    <d v="2023-10-13T00:00:00"/>
    <x v="618"/>
    <x v="0"/>
    <n v="47"/>
    <x v="0"/>
    <x v="2"/>
    <n v="4"/>
    <x v="3"/>
    <x v="4"/>
  </r>
  <r>
    <n v="620"/>
    <d v="2023-05-08T00:00:00"/>
    <x v="619"/>
    <x v="0"/>
    <n v="63"/>
    <x v="0"/>
    <x v="2"/>
    <n v="3"/>
    <x v="3"/>
    <x v="8"/>
  </r>
  <r>
    <n v="621"/>
    <d v="2023-03-04T00:00:00"/>
    <x v="620"/>
    <x v="1"/>
    <n v="40"/>
    <x v="0"/>
    <x v="0"/>
    <n v="2"/>
    <x v="1"/>
    <x v="1"/>
  </r>
  <r>
    <n v="622"/>
    <d v="2023-08-22T00:00:00"/>
    <x v="621"/>
    <x v="1"/>
    <n v="49"/>
    <x v="0"/>
    <x v="0"/>
    <n v="3"/>
    <x v="3"/>
    <x v="8"/>
  </r>
  <r>
    <n v="623"/>
    <d v="2023-03-10T00:00:00"/>
    <x v="622"/>
    <x v="0"/>
    <n v="34"/>
    <x v="0"/>
    <x v="1"/>
    <n v="3"/>
    <x v="0"/>
    <x v="0"/>
  </r>
  <r>
    <n v="624"/>
    <d v="2023-08-26T00:00:00"/>
    <x v="623"/>
    <x v="1"/>
    <n v="34"/>
    <x v="0"/>
    <x v="0"/>
    <n v="3"/>
    <x v="4"/>
    <x v="12"/>
  </r>
  <r>
    <n v="625"/>
    <d v="2023-12-08T00:00:00"/>
    <x v="624"/>
    <x v="0"/>
    <n v="31"/>
    <x v="0"/>
    <x v="1"/>
    <n v="1"/>
    <x v="4"/>
    <x v="13"/>
  </r>
  <r>
    <n v="626"/>
    <d v="2023-09-29T00:00:00"/>
    <x v="625"/>
    <x v="1"/>
    <n v="26"/>
    <x v="0"/>
    <x v="1"/>
    <n v="4"/>
    <x v="1"/>
    <x v="11"/>
  </r>
  <r>
    <n v="627"/>
    <d v="2023-10-14T00:00:00"/>
    <x v="626"/>
    <x v="0"/>
    <n v="57"/>
    <x v="0"/>
    <x v="1"/>
    <n v="1"/>
    <x v="0"/>
    <x v="5"/>
  </r>
  <r>
    <n v="628"/>
    <d v="2023-11-01T00:00:00"/>
    <x v="627"/>
    <x v="1"/>
    <n v="19"/>
    <x v="1"/>
    <x v="0"/>
    <n v="4"/>
    <x v="0"/>
    <x v="7"/>
  </r>
  <r>
    <n v="629"/>
    <d v="2023-06-12T00:00:00"/>
    <x v="628"/>
    <x v="0"/>
    <n v="62"/>
    <x v="0"/>
    <x v="2"/>
    <n v="2"/>
    <x v="3"/>
    <x v="5"/>
  </r>
  <r>
    <n v="630"/>
    <d v="2023-08-15T00:00:00"/>
    <x v="629"/>
    <x v="0"/>
    <n v="42"/>
    <x v="0"/>
    <x v="1"/>
    <n v="2"/>
    <x v="0"/>
    <x v="4"/>
  </r>
  <r>
    <n v="631"/>
    <d v="2023-11-10T00:00:00"/>
    <x v="630"/>
    <x v="0"/>
    <n v="56"/>
    <x v="0"/>
    <x v="2"/>
    <n v="3"/>
    <x v="2"/>
    <x v="15"/>
  </r>
  <r>
    <n v="632"/>
    <d v="2023-09-16T00:00:00"/>
    <x v="631"/>
    <x v="1"/>
    <n v="26"/>
    <x v="0"/>
    <x v="2"/>
    <n v="4"/>
    <x v="3"/>
    <x v="4"/>
  </r>
  <r>
    <n v="633"/>
    <d v="2023-08-07T00:00:00"/>
    <x v="632"/>
    <x v="0"/>
    <n v="39"/>
    <x v="0"/>
    <x v="0"/>
    <n v="4"/>
    <x v="2"/>
    <x v="10"/>
  </r>
  <r>
    <n v="634"/>
    <d v="2023-10-08T00:00:00"/>
    <x v="633"/>
    <x v="0"/>
    <n v="60"/>
    <x v="0"/>
    <x v="2"/>
    <n v="4"/>
    <x v="1"/>
    <x v="11"/>
  </r>
  <r>
    <n v="635"/>
    <d v="2023-08-17T00:00:00"/>
    <x v="634"/>
    <x v="1"/>
    <n v="63"/>
    <x v="0"/>
    <x v="2"/>
    <n v="3"/>
    <x v="4"/>
    <x v="12"/>
  </r>
  <r>
    <n v="636"/>
    <d v="2023-03-23T00:00:00"/>
    <x v="635"/>
    <x v="1"/>
    <n v="21"/>
    <x v="1"/>
    <x v="0"/>
    <n v="3"/>
    <x v="1"/>
    <x v="9"/>
  </r>
  <r>
    <n v="637"/>
    <d v="2023-09-01T00:00:00"/>
    <x v="636"/>
    <x v="0"/>
    <n v="43"/>
    <x v="0"/>
    <x v="1"/>
    <n v="2"/>
    <x v="4"/>
    <x v="6"/>
  </r>
  <r>
    <n v="638"/>
    <d v="2023-08-19T00:00:00"/>
    <x v="637"/>
    <x v="0"/>
    <n v="46"/>
    <x v="0"/>
    <x v="2"/>
    <n v="1"/>
    <x v="1"/>
    <x v="3"/>
  </r>
  <r>
    <n v="639"/>
    <d v="2023-05-13T00:00:00"/>
    <x v="638"/>
    <x v="1"/>
    <n v="62"/>
    <x v="0"/>
    <x v="0"/>
    <n v="4"/>
    <x v="0"/>
    <x v="7"/>
  </r>
  <r>
    <n v="640"/>
    <d v="2023-05-07T00:00:00"/>
    <x v="639"/>
    <x v="1"/>
    <n v="51"/>
    <x v="0"/>
    <x v="2"/>
    <n v="4"/>
    <x v="2"/>
    <x v="10"/>
  </r>
  <r>
    <n v="641"/>
    <d v="2023-11-23T00:00:00"/>
    <x v="640"/>
    <x v="1"/>
    <n v="40"/>
    <x v="0"/>
    <x v="2"/>
    <n v="1"/>
    <x v="4"/>
    <x v="13"/>
  </r>
  <r>
    <n v="642"/>
    <d v="2023-05-22T00:00:00"/>
    <x v="641"/>
    <x v="1"/>
    <n v="54"/>
    <x v="0"/>
    <x v="1"/>
    <n v="4"/>
    <x v="3"/>
    <x v="4"/>
  </r>
  <r>
    <n v="643"/>
    <d v="2023-09-24T00:00:00"/>
    <x v="642"/>
    <x v="1"/>
    <n v="28"/>
    <x v="0"/>
    <x v="2"/>
    <n v="3"/>
    <x v="2"/>
    <x v="15"/>
  </r>
  <r>
    <n v="644"/>
    <d v="2023-09-06T00:00:00"/>
    <x v="643"/>
    <x v="0"/>
    <n v="23"/>
    <x v="1"/>
    <x v="0"/>
    <n v="3"/>
    <x v="3"/>
    <x v="8"/>
  </r>
  <r>
    <n v="645"/>
    <d v="2023-11-17T00:00:00"/>
    <x v="644"/>
    <x v="1"/>
    <n v="35"/>
    <x v="0"/>
    <x v="2"/>
    <n v="4"/>
    <x v="2"/>
    <x v="10"/>
  </r>
  <r>
    <n v="646"/>
    <d v="2023-05-03T00:00:00"/>
    <x v="645"/>
    <x v="0"/>
    <n v="38"/>
    <x v="0"/>
    <x v="1"/>
    <n v="3"/>
    <x v="2"/>
    <x v="15"/>
  </r>
  <r>
    <n v="647"/>
    <d v="2023-05-21T00:00:00"/>
    <x v="646"/>
    <x v="0"/>
    <n v="59"/>
    <x v="0"/>
    <x v="1"/>
    <n v="3"/>
    <x v="1"/>
    <x v="9"/>
  </r>
  <r>
    <n v="648"/>
    <d v="2023-08-14T00:00:00"/>
    <x v="647"/>
    <x v="0"/>
    <n v="53"/>
    <x v="0"/>
    <x v="0"/>
    <n v="4"/>
    <x v="4"/>
    <x v="14"/>
  </r>
  <r>
    <n v="649"/>
    <d v="2023-02-09T00:00:00"/>
    <x v="648"/>
    <x v="1"/>
    <n v="58"/>
    <x v="0"/>
    <x v="1"/>
    <n v="2"/>
    <x v="4"/>
    <x v="6"/>
  </r>
  <r>
    <n v="650"/>
    <d v="2024-01-01T00:00:00"/>
    <x v="649"/>
    <x v="0"/>
    <n v="55"/>
    <x v="0"/>
    <x v="2"/>
    <n v="1"/>
    <x v="2"/>
    <x v="2"/>
  </r>
  <r>
    <n v="651"/>
    <d v="2023-05-27T00:00:00"/>
    <x v="650"/>
    <x v="0"/>
    <n v="51"/>
    <x v="0"/>
    <x v="1"/>
    <n v="3"/>
    <x v="0"/>
    <x v="0"/>
  </r>
  <r>
    <n v="652"/>
    <d v="2023-05-01T00:00:00"/>
    <x v="651"/>
    <x v="1"/>
    <n v="34"/>
    <x v="0"/>
    <x v="0"/>
    <n v="2"/>
    <x v="0"/>
    <x v="4"/>
  </r>
  <r>
    <n v="653"/>
    <d v="2023-05-20T00:00:00"/>
    <x v="652"/>
    <x v="0"/>
    <n v="54"/>
    <x v="0"/>
    <x v="1"/>
    <n v="3"/>
    <x v="3"/>
    <x v="8"/>
  </r>
  <r>
    <n v="654"/>
    <d v="2023-06-21T00:00:00"/>
    <x v="653"/>
    <x v="0"/>
    <n v="42"/>
    <x v="0"/>
    <x v="1"/>
    <n v="3"/>
    <x v="3"/>
    <x v="8"/>
  </r>
  <r>
    <n v="655"/>
    <d v="2023-06-13T00:00:00"/>
    <x v="654"/>
    <x v="1"/>
    <n v="55"/>
    <x v="0"/>
    <x v="1"/>
    <n v="1"/>
    <x v="1"/>
    <x v="3"/>
  </r>
  <r>
    <n v="656"/>
    <d v="2023-10-04T00:00:00"/>
    <x v="655"/>
    <x v="0"/>
    <n v="29"/>
    <x v="0"/>
    <x v="0"/>
    <n v="3"/>
    <x v="2"/>
    <x v="15"/>
  </r>
  <r>
    <n v="657"/>
    <d v="2023-02-11T00:00:00"/>
    <x v="656"/>
    <x v="0"/>
    <n v="40"/>
    <x v="0"/>
    <x v="1"/>
    <n v="1"/>
    <x v="3"/>
    <x v="16"/>
  </r>
  <r>
    <n v="658"/>
    <d v="2023-03-12T00:00:00"/>
    <x v="657"/>
    <x v="0"/>
    <n v="59"/>
    <x v="0"/>
    <x v="1"/>
    <n v="1"/>
    <x v="3"/>
    <x v="16"/>
  </r>
  <r>
    <n v="659"/>
    <d v="2023-03-19T00:00:00"/>
    <x v="658"/>
    <x v="1"/>
    <n v="39"/>
    <x v="0"/>
    <x v="2"/>
    <n v="1"/>
    <x v="2"/>
    <x v="2"/>
  </r>
  <r>
    <n v="660"/>
    <d v="2023-04-29T00:00:00"/>
    <x v="659"/>
    <x v="1"/>
    <n v="38"/>
    <x v="0"/>
    <x v="0"/>
    <n v="2"/>
    <x v="1"/>
    <x v="1"/>
  </r>
  <r>
    <n v="661"/>
    <d v="2023-07-16T00:00:00"/>
    <x v="660"/>
    <x v="1"/>
    <n v="44"/>
    <x v="0"/>
    <x v="1"/>
    <n v="4"/>
    <x v="3"/>
    <x v="4"/>
  </r>
  <r>
    <n v="662"/>
    <d v="2023-12-22T00:00:00"/>
    <x v="661"/>
    <x v="0"/>
    <n v="48"/>
    <x v="0"/>
    <x v="0"/>
    <n v="2"/>
    <x v="1"/>
    <x v="1"/>
  </r>
  <r>
    <n v="663"/>
    <d v="2023-03-20T00:00:00"/>
    <x v="662"/>
    <x v="0"/>
    <n v="23"/>
    <x v="1"/>
    <x v="1"/>
    <n v="4"/>
    <x v="4"/>
    <x v="14"/>
  </r>
  <r>
    <n v="664"/>
    <d v="2023-12-28T00:00:00"/>
    <x v="663"/>
    <x v="1"/>
    <n v="44"/>
    <x v="0"/>
    <x v="1"/>
    <n v="4"/>
    <x v="1"/>
    <x v="11"/>
  </r>
  <r>
    <n v="665"/>
    <d v="2023-04-20T00:00:00"/>
    <x v="664"/>
    <x v="0"/>
    <n v="57"/>
    <x v="0"/>
    <x v="1"/>
    <n v="1"/>
    <x v="0"/>
    <x v="5"/>
  </r>
  <r>
    <n v="666"/>
    <d v="2023-02-02T00:00:00"/>
    <x v="665"/>
    <x v="0"/>
    <n v="51"/>
    <x v="0"/>
    <x v="2"/>
    <n v="3"/>
    <x v="0"/>
    <x v="0"/>
  </r>
  <r>
    <n v="667"/>
    <d v="2023-08-01T00:00:00"/>
    <x v="666"/>
    <x v="1"/>
    <n v="29"/>
    <x v="0"/>
    <x v="2"/>
    <n v="1"/>
    <x v="1"/>
    <x v="3"/>
  </r>
  <r>
    <n v="668"/>
    <d v="2023-07-28T00:00:00"/>
    <x v="667"/>
    <x v="1"/>
    <n v="62"/>
    <x v="0"/>
    <x v="2"/>
    <n v="3"/>
    <x v="0"/>
    <x v="0"/>
  </r>
  <r>
    <n v="669"/>
    <d v="2023-06-19T00:00:00"/>
    <x v="668"/>
    <x v="0"/>
    <n v="24"/>
    <x v="1"/>
    <x v="0"/>
    <n v="4"/>
    <x v="4"/>
    <x v="14"/>
  </r>
  <r>
    <n v="670"/>
    <d v="2023-10-05T00:00:00"/>
    <x v="669"/>
    <x v="0"/>
    <n v="27"/>
    <x v="0"/>
    <x v="0"/>
    <n v="1"/>
    <x v="2"/>
    <x v="2"/>
  </r>
  <r>
    <n v="671"/>
    <d v="2023-08-27T00:00:00"/>
    <x v="670"/>
    <x v="0"/>
    <n v="62"/>
    <x v="0"/>
    <x v="2"/>
    <n v="3"/>
    <x v="0"/>
    <x v="0"/>
  </r>
  <r>
    <n v="672"/>
    <d v="2023-08-01T00:00:00"/>
    <x v="671"/>
    <x v="1"/>
    <n v="34"/>
    <x v="0"/>
    <x v="0"/>
    <n v="2"/>
    <x v="0"/>
    <x v="4"/>
  </r>
  <r>
    <n v="673"/>
    <d v="2023-02-01T00:00:00"/>
    <x v="672"/>
    <x v="1"/>
    <n v="43"/>
    <x v="0"/>
    <x v="1"/>
    <n v="3"/>
    <x v="1"/>
    <x v="9"/>
  </r>
  <r>
    <n v="674"/>
    <d v="2023-04-16T00:00:00"/>
    <x v="673"/>
    <x v="1"/>
    <n v="38"/>
    <x v="0"/>
    <x v="1"/>
    <n v="1"/>
    <x v="4"/>
    <x v="13"/>
  </r>
  <r>
    <n v="675"/>
    <d v="2023-08-04T00:00:00"/>
    <x v="674"/>
    <x v="1"/>
    <n v="45"/>
    <x v="0"/>
    <x v="1"/>
    <n v="2"/>
    <x v="2"/>
    <x v="17"/>
  </r>
  <r>
    <n v="676"/>
    <d v="2023-07-19T00:00:00"/>
    <x v="675"/>
    <x v="0"/>
    <n v="63"/>
    <x v="0"/>
    <x v="2"/>
    <n v="3"/>
    <x v="1"/>
    <x v="9"/>
  </r>
  <r>
    <n v="677"/>
    <d v="2023-10-27T00:00:00"/>
    <x v="676"/>
    <x v="1"/>
    <n v="19"/>
    <x v="1"/>
    <x v="0"/>
    <n v="3"/>
    <x v="1"/>
    <x v="9"/>
  </r>
  <r>
    <n v="678"/>
    <d v="2023-12-23T00:00:00"/>
    <x v="677"/>
    <x v="1"/>
    <n v="60"/>
    <x v="0"/>
    <x v="2"/>
    <n v="3"/>
    <x v="4"/>
    <x v="12"/>
  </r>
  <r>
    <n v="679"/>
    <d v="2023-01-11T00:00:00"/>
    <x v="678"/>
    <x v="1"/>
    <n v="18"/>
    <x v="1"/>
    <x v="0"/>
    <n v="3"/>
    <x v="2"/>
    <x v="15"/>
  </r>
  <r>
    <n v="680"/>
    <d v="2023-10-22T00:00:00"/>
    <x v="679"/>
    <x v="1"/>
    <n v="53"/>
    <x v="0"/>
    <x v="1"/>
    <n v="3"/>
    <x v="4"/>
    <x v="12"/>
  </r>
  <r>
    <n v="681"/>
    <d v="2023-07-14T00:00:00"/>
    <x v="680"/>
    <x v="1"/>
    <n v="43"/>
    <x v="0"/>
    <x v="2"/>
    <n v="2"/>
    <x v="2"/>
    <x v="17"/>
  </r>
  <r>
    <n v="682"/>
    <d v="2023-09-02T00:00:00"/>
    <x v="681"/>
    <x v="0"/>
    <n v="46"/>
    <x v="0"/>
    <x v="0"/>
    <n v="4"/>
    <x v="4"/>
    <x v="14"/>
  </r>
  <r>
    <n v="683"/>
    <d v="2023-01-04T00:00:00"/>
    <x v="682"/>
    <x v="0"/>
    <n v="38"/>
    <x v="0"/>
    <x v="0"/>
    <n v="2"/>
    <x v="1"/>
    <x v="1"/>
  </r>
  <r>
    <n v="684"/>
    <d v="2023-06-30T00:00:00"/>
    <x v="683"/>
    <x v="1"/>
    <n v="28"/>
    <x v="0"/>
    <x v="1"/>
    <n v="2"/>
    <x v="1"/>
    <x v="1"/>
  </r>
  <r>
    <n v="685"/>
    <d v="2023-06-02T00:00:00"/>
    <x v="684"/>
    <x v="0"/>
    <n v="57"/>
    <x v="0"/>
    <x v="2"/>
    <n v="2"/>
    <x v="3"/>
    <x v="5"/>
  </r>
  <r>
    <n v="686"/>
    <d v="2023-07-19T00:00:00"/>
    <x v="685"/>
    <x v="1"/>
    <n v="28"/>
    <x v="0"/>
    <x v="2"/>
    <n v="4"/>
    <x v="0"/>
    <x v="7"/>
  </r>
  <r>
    <n v="687"/>
    <d v="2023-08-03T00:00:00"/>
    <x v="686"/>
    <x v="1"/>
    <n v="53"/>
    <x v="0"/>
    <x v="2"/>
    <n v="1"/>
    <x v="4"/>
    <x v="13"/>
  </r>
  <r>
    <n v="688"/>
    <d v="2023-10-03T00:00:00"/>
    <x v="687"/>
    <x v="0"/>
    <n v="56"/>
    <x v="0"/>
    <x v="1"/>
    <n v="4"/>
    <x v="3"/>
    <x v="4"/>
  </r>
  <r>
    <n v="689"/>
    <d v="2023-10-07T00:00:00"/>
    <x v="688"/>
    <x v="0"/>
    <n v="57"/>
    <x v="0"/>
    <x v="2"/>
    <n v="2"/>
    <x v="0"/>
    <x v="4"/>
  </r>
  <r>
    <n v="690"/>
    <d v="2023-11-05T00:00:00"/>
    <x v="689"/>
    <x v="1"/>
    <n v="52"/>
    <x v="0"/>
    <x v="1"/>
    <n v="3"/>
    <x v="4"/>
    <x v="12"/>
  </r>
  <r>
    <n v="691"/>
    <d v="2023-04-23T00:00:00"/>
    <x v="690"/>
    <x v="1"/>
    <n v="51"/>
    <x v="0"/>
    <x v="1"/>
    <n v="3"/>
    <x v="2"/>
    <x v="15"/>
  </r>
  <r>
    <n v="692"/>
    <d v="2023-09-07T00:00:00"/>
    <x v="691"/>
    <x v="1"/>
    <n v="64"/>
    <x v="0"/>
    <x v="1"/>
    <n v="2"/>
    <x v="0"/>
    <x v="4"/>
  </r>
  <r>
    <n v="693"/>
    <d v="2023-04-23T00:00:00"/>
    <x v="692"/>
    <x v="0"/>
    <n v="41"/>
    <x v="0"/>
    <x v="0"/>
    <n v="3"/>
    <x v="1"/>
    <x v="9"/>
  </r>
  <r>
    <n v="694"/>
    <d v="2023-05-20T00:00:00"/>
    <x v="693"/>
    <x v="1"/>
    <n v="39"/>
    <x v="0"/>
    <x v="2"/>
    <n v="2"/>
    <x v="3"/>
    <x v="5"/>
  </r>
  <r>
    <n v="695"/>
    <d v="2023-08-12T00:00:00"/>
    <x v="694"/>
    <x v="1"/>
    <n v="22"/>
    <x v="1"/>
    <x v="2"/>
    <n v="3"/>
    <x v="0"/>
    <x v="0"/>
  </r>
  <r>
    <n v="696"/>
    <d v="2023-09-06T00:00:00"/>
    <x v="695"/>
    <x v="1"/>
    <n v="50"/>
    <x v="0"/>
    <x v="1"/>
    <n v="4"/>
    <x v="0"/>
    <x v="7"/>
  </r>
  <r>
    <n v="697"/>
    <d v="2023-01-15T00:00:00"/>
    <x v="696"/>
    <x v="0"/>
    <n v="53"/>
    <x v="0"/>
    <x v="1"/>
    <n v="1"/>
    <x v="1"/>
    <x v="3"/>
  </r>
  <r>
    <n v="698"/>
    <d v="2023-07-19T00:00:00"/>
    <x v="697"/>
    <x v="1"/>
    <n v="64"/>
    <x v="0"/>
    <x v="2"/>
    <n v="1"/>
    <x v="4"/>
    <x v="13"/>
  </r>
  <r>
    <n v="699"/>
    <d v="2023-06-22T00:00:00"/>
    <x v="698"/>
    <x v="1"/>
    <n v="37"/>
    <x v="0"/>
    <x v="1"/>
    <n v="4"/>
    <x v="2"/>
    <x v="10"/>
  </r>
  <r>
    <n v="700"/>
    <d v="2023-12-09T00:00:00"/>
    <x v="699"/>
    <x v="0"/>
    <n v="36"/>
    <x v="0"/>
    <x v="2"/>
    <n v="4"/>
    <x v="1"/>
    <x v="11"/>
  </r>
  <r>
    <n v="701"/>
    <d v="2023-12-14T00:00:00"/>
    <x v="700"/>
    <x v="1"/>
    <n v="52"/>
    <x v="0"/>
    <x v="0"/>
    <n v="2"/>
    <x v="2"/>
    <x v="17"/>
  </r>
  <r>
    <n v="702"/>
    <d v="2023-07-27T00:00:00"/>
    <x v="701"/>
    <x v="1"/>
    <n v="60"/>
    <x v="0"/>
    <x v="1"/>
    <n v="2"/>
    <x v="4"/>
    <x v="6"/>
  </r>
  <r>
    <n v="703"/>
    <d v="2023-03-26T00:00:00"/>
    <x v="702"/>
    <x v="0"/>
    <n v="34"/>
    <x v="0"/>
    <x v="2"/>
    <n v="2"/>
    <x v="0"/>
    <x v="4"/>
  </r>
  <r>
    <n v="704"/>
    <d v="2023-08-28T00:00:00"/>
    <x v="703"/>
    <x v="1"/>
    <n v="62"/>
    <x v="0"/>
    <x v="1"/>
    <n v="3"/>
    <x v="2"/>
    <x v="15"/>
  </r>
  <r>
    <n v="705"/>
    <d v="2023-03-07T00:00:00"/>
    <x v="704"/>
    <x v="0"/>
    <n v="60"/>
    <x v="0"/>
    <x v="2"/>
    <n v="2"/>
    <x v="3"/>
    <x v="5"/>
  </r>
  <r>
    <n v="706"/>
    <d v="2023-11-15T00:00:00"/>
    <x v="705"/>
    <x v="0"/>
    <n v="51"/>
    <x v="0"/>
    <x v="2"/>
    <n v="4"/>
    <x v="3"/>
    <x v="4"/>
  </r>
  <r>
    <n v="707"/>
    <d v="2023-10-01T00:00:00"/>
    <x v="706"/>
    <x v="1"/>
    <n v="26"/>
    <x v="0"/>
    <x v="1"/>
    <n v="1"/>
    <x v="1"/>
    <x v="3"/>
  </r>
  <r>
    <n v="708"/>
    <d v="2023-01-14T00:00:00"/>
    <x v="707"/>
    <x v="1"/>
    <n v="43"/>
    <x v="0"/>
    <x v="0"/>
    <n v="3"/>
    <x v="4"/>
    <x v="12"/>
  </r>
  <r>
    <n v="709"/>
    <d v="2023-07-21T00:00:00"/>
    <x v="708"/>
    <x v="1"/>
    <n v="19"/>
    <x v="1"/>
    <x v="2"/>
    <n v="2"/>
    <x v="1"/>
    <x v="1"/>
  </r>
  <r>
    <n v="710"/>
    <d v="2023-10-31T00:00:00"/>
    <x v="709"/>
    <x v="1"/>
    <n v="26"/>
    <x v="0"/>
    <x v="2"/>
    <n v="3"/>
    <x v="1"/>
    <x v="9"/>
  </r>
  <r>
    <n v="711"/>
    <d v="2023-10-16T00:00:00"/>
    <x v="710"/>
    <x v="0"/>
    <n v="26"/>
    <x v="0"/>
    <x v="2"/>
    <n v="3"/>
    <x v="1"/>
    <x v="9"/>
  </r>
  <r>
    <n v="712"/>
    <d v="2023-12-06T00:00:00"/>
    <x v="711"/>
    <x v="1"/>
    <n v="57"/>
    <x v="0"/>
    <x v="0"/>
    <n v="2"/>
    <x v="3"/>
    <x v="5"/>
  </r>
  <r>
    <n v="713"/>
    <d v="2023-01-14T00:00:00"/>
    <x v="712"/>
    <x v="0"/>
    <n v="34"/>
    <x v="0"/>
    <x v="0"/>
    <n v="3"/>
    <x v="3"/>
    <x v="8"/>
  </r>
  <r>
    <n v="714"/>
    <d v="2023-02-12T00:00:00"/>
    <x v="713"/>
    <x v="1"/>
    <n v="18"/>
    <x v="1"/>
    <x v="1"/>
    <n v="1"/>
    <x v="1"/>
    <x v="3"/>
  </r>
  <r>
    <n v="715"/>
    <d v="2023-11-26T00:00:00"/>
    <x v="714"/>
    <x v="1"/>
    <n v="42"/>
    <x v="0"/>
    <x v="0"/>
    <n v="4"/>
    <x v="3"/>
    <x v="4"/>
  </r>
  <r>
    <n v="716"/>
    <d v="2023-08-08T00:00:00"/>
    <x v="715"/>
    <x v="1"/>
    <n v="60"/>
    <x v="0"/>
    <x v="1"/>
    <n v="4"/>
    <x v="4"/>
    <x v="14"/>
  </r>
  <r>
    <n v="717"/>
    <d v="2023-03-11T00:00:00"/>
    <x v="716"/>
    <x v="0"/>
    <n v="57"/>
    <x v="0"/>
    <x v="1"/>
    <n v="1"/>
    <x v="1"/>
    <x v="3"/>
  </r>
  <r>
    <n v="718"/>
    <d v="2023-08-25T00:00:00"/>
    <x v="717"/>
    <x v="1"/>
    <n v="59"/>
    <x v="0"/>
    <x v="0"/>
    <n v="3"/>
    <x v="3"/>
    <x v="8"/>
  </r>
  <r>
    <n v="719"/>
    <d v="2023-04-04T00:00:00"/>
    <x v="718"/>
    <x v="1"/>
    <n v="42"/>
    <x v="0"/>
    <x v="1"/>
    <n v="2"/>
    <x v="2"/>
    <x v="17"/>
  </r>
  <r>
    <n v="720"/>
    <d v="2023-01-26T00:00:00"/>
    <x v="719"/>
    <x v="1"/>
    <n v="56"/>
    <x v="0"/>
    <x v="0"/>
    <n v="3"/>
    <x v="1"/>
    <x v="9"/>
  </r>
  <r>
    <n v="721"/>
    <d v="2023-05-14T00:00:00"/>
    <x v="720"/>
    <x v="1"/>
    <n v="52"/>
    <x v="0"/>
    <x v="1"/>
    <n v="1"/>
    <x v="1"/>
    <x v="3"/>
  </r>
  <r>
    <n v="722"/>
    <d v="2023-07-14T00:00:00"/>
    <x v="721"/>
    <x v="0"/>
    <n v="20"/>
    <x v="1"/>
    <x v="0"/>
    <n v="3"/>
    <x v="4"/>
    <x v="12"/>
  </r>
  <r>
    <n v="723"/>
    <d v="2023-06-17T00:00:00"/>
    <x v="722"/>
    <x v="1"/>
    <n v="54"/>
    <x v="0"/>
    <x v="0"/>
    <n v="4"/>
    <x v="0"/>
    <x v="7"/>
  </r>
  <r>
    <n v="724"/>
    <d v="2023-04-19T00:00:00"/>
    <x v="723"/>
    <x v="0"/>
    <n v="61"/>
    <x v="0"/>
    <x v="1"/>
    <n v="3"/>
    <x v="0"/>
    <x v="0"/>
  </r>
  <r>
    <n v="725"/>
    <d v="2023-08-21T00:00:00"/>
    <x v="724"/>
    <x v="0"/>
    <n v="61"/>
    <x v="0"/>
    <x v="2"/>
    <n v="1"/>
    <x v="4"/>
    <x v="13"/>
  </r>
  <r>
    <n v="726"/>
    <d v="2023-06-17T00:00:00"/>
    <x v="725"/>
    <x v="0"/>
    <n v="47"/>
    <x v="0"/>
    <x v="1"/>
    <n v="4"/>
    <x v="4"/>
    <x v="14"/>
  </r>
  <r>
    <n v="727"/>
    <d v="2023-06-22T00:00:00"/>
    <x v="726"/>
    <x v="0"/>
    <n v="55"/>
    <x v="0"/>
    <x v="0"/>
    <n v="3"/>
    <x v="4"/>
    <x v="12"/>
  </r>
  <r>
    <n v="728"/>
    <d v="2023-07-14T00:00:00"/>
    <x v="727"/>
    <x v="0"/>
    <n v="51"/>
    <x v="0"/>
    <x v="2"/>
    <n v="3"/>
    <x v="0"/>
    <x v="0"/>
  </r>
  <r>
    <n v="729"/>
    <d v="2023-05-23T00:00:00"/>
    <x v="728"/>
    <x v="0"/>
    <n v="29"/>
    <x v="0"/>
    <x v="1"/>
    <n v="4"/>
    <x v="4"/>
    <x v="14"/>
  </r>
  <r>
    <n v="730"/>
    <d v="2023-08-04T00:00:00"/>
    <x v="729"/>
    <x v="1"/>
    <n v="36"/>
    <x v="0"/>
    <x v="1"/>
    <n v="2"/>
    <x v="3"/>
    <x v="5"/>
  </r>
  <r>
    <n v="731"/>
    <d v="2023-05-10T00:00:00"/>
    <x v="730"/>
    <x v="0"/>
    <n v="54"/>
    <x v="0"/>
    <x v="1"/>
    <n v="4"/>
    <x v="1"/>
    <x v="11"/>
  </r>
  <r>
    <n v="732"/>
    <d v="2023-02-11T00:00:00"/>
    <x v="731"/>
    <x v="0"/>
    <n v="61"/>
    <x v="0"/>
    <x v="2"/>
    <n v="2"/>
    <x v="1"/>
    <x v="1"/>
  </r>
  <r>
    <n v="733"/>
    <d v="2023-08-29T00:00:00"/>
    <x v="732"/>
    <x v="0"/>
    <n v="34"/>
    <x v="0"/>
    <x v="0"/>
    <n v="1"/>
    <x v="2"/>
    <x v="2"/>
  </r>
  <r>
    <n v="734"/>
    <d v="2023-01-10T00:00:00"/>
    <x v="733"/>
    <x v="1"/>
    <n v="27"/>
    <x v="0"/>
    <x v="1"/>
    <n v="1"/>
    <x v="2"/>
    <x v="2"/>
  </r>
  <r>
    <n v="735"/>
    <d v="2023-10-04T00:00:00"/>
    <x v="734"/>
    <x v="1"/>
    <n v="64"/>
    <x v="0"/>
    <x v="1"/>
    <n v="4"/>
    <x v="1"/>
    <x v="11"/>
  </r>
  <r>
    <n v="736"/>
    <d v="2023-01-27T00:00:00"/>
    <x v="735"/>
    <x v="0"/>
    <n v="29"/>
    <x v="0"/>
    <x v="1"/>
    <n v="4"/>
    <x v="3"/>
    <x v="4"/>
  </r>
  <r>
    <n v="737"/>
    <d v="2023-06-29T00:00:00"/>
    <x v="736"/>
    <x v="1"/>
    <n v="33"/>
    <x v="0"/>
    <x v="1"/>
    <n v="1"/>
    <x v="0"/>
    <x v="5"/>
  </r>
  <r>
    <n v="738"/>
    <d v="2023-04-25T00:00:00"/>
    <x v="737"/>
    <x v="0"/>
    <n v="41"/>
    <x v="0"/>
    <x v="1"/>
    <n v="2"/>
    <x v="0"/>
    <x v="4"/>
  </r>
  <r>
    <n v="739"/>
    <d v="2023-11-29T00:00:00"/>
    <x v="738"/>
    <x v="0"/>
    <n v="36"/>
    <x v="0"/>
    <x v="0"/>
    <n v="1"/>
    <x v="3"/>
    <x v="16"/>
  </r>
  <r>
    <n v="740"/>
    <d v="2023-02-05T00:00:00"/>
    <x v="739"/>
    <x v="1"/>
    <n v="25"/>
    <x v="1"/>
    <x v="0"/>
    <n v="4"/>
    <x v="0"/>
    <x v="7"/>
  </r>
  <r>
    <n v="741"/>
    <d v="2023-11-30T00:00:00"/>
    <x v="740"/>
    <x v="0"/>
    <n v="48"/>
    <x v="0"/>
    <x v="1"/>
    <n v="1"/>
    <x v="4"/>
    <x v="13"/>
  </r>
  <r>
    <n v="742"/>
    <d v="2023-01-21T00:00:00"/>
    <x v="741"/>
    <x v="1"/>
    <n v="38"/>
    <x v="0"/>
    <x v="2"/>
    <n v="4"/>
    <x v="1"/>
    <x v="11"/>
  </r>
  <r>
    <n v="743"/>
    <d v="2023-01-16T00:00:00"/>
    <x v="742"/>
    <x v="1"/>
    <n v="34"/>
    <x v="0"/>
    <x v="0"/>
    <n v="4"/>
    <x v="1"/>
    <x v="11"/>
  </r>
  <r>
    <n v="744"/>
    <d v="2023-05-07T00:00:00"/>
    <x v="743"/>
    <x v="0"/>
    <n v="40"/>
    <x v="0"/>
    <x v="2"/>
    <n v="1"/>
    <x v="3"/>
    <x v="16"/>
  </r>
  <r>
    <n v="745"/>
    <d v="2023-04-13T00:00:00"/>
    <x v="744"/>
    <x v="0"/>
    <n v="54"/>
    <x v="0"/>
    <x v="0"/>
    <n v="2"/>
    <x v="0"/>
    <x v="4"/>
  </r>
  <r>
    <n v="746"/>
    <d v="2023-01-11T00:00:00"/>
    <x v="745"/>
    <x v="1"/>
    <n v="33"/>
    <x v="0"/>
    <x v="1"/>
    <n v="3"/>
    <x v="2"/>
    <x v="15"/>
  </r>
  <r>
    <n v="747"/>
    <d v="2023-11-15T00:00:00"/>
    <x v="746"/>
    <x v="0"/>
    <n v="23"/>
    <x v="1"/>
    <x v="0"/>
    <n v="1"/>
    <x v="2"/>
    <x v="2"/>
  </r>
  <r>
    <n v="748"/>
    <d v="2023-03-20T00:00:00"/>
    <x v="747"/>
    <x v="0"/>
    <n v="25"/>
    <x v="1"/>
    <x v="1"/>
    <n v="3"/>
    <x v="0"/>
    <x v="0"/>
  </r>
  <r>
    <n v="749"/>
    <d v="2023-05-03T00:00:00"/>
    <x v="748"/>
    <x v="0"/>
    <n v="42"/>
    <x v="0"/>
    <x v="0"/>
    <n v="1"/>
    <x v="2"/>
    <x v="2"/>
  </r>
  <r>
    <n v="750"/>
    <d v="2023-03-06T00:00:00"/>
    <x v="749"/>
    <x v="1"/>
    <n v="35"/>
    <x v="0"/>
    <x v="1"/>
    <n v="3"/>
    <x v="3"/>
    <x v="8"/>
  </r>
  <r>
    <n v="751"/>
    <d v="2023-08-31T00:00:00"/>
    <x v="750"/>
    <x v="1"/>
    <n v="42"/>
    <x v="0"/>
    <x v="1"/>
    <n v="2"/>
    <x v="3"/>
    <x v="5"/>
  </r>
  <r>
    <n v="752"/>
    <d v="2023-12-09T00:00:00"/>
    <x v="751"/>
    <x v="0"/>
    <n v="29"/>
    <x v="0"/>
    <x v="1"/>
    <n v="2"/>
    <x v="0"/>
    <x v="4"/>
  </r>
  <r>
    <n v="753"/>
    <d v="2023-02-28T00:00:00"/>
    <x v="752"/>
    <x v="1"/>
    <n v="32"/>
    <x v="0"/>
    <x v="1"/>
    <n v="1"/>
    <x v="2"/>
    <x v="2"/>
  </r>
  <r>
    <n v="754"/>
    <d v="2023-10-16T00:00:00"/>
    <x v="753"/>
    <x v="1"/>
    <n v="43"/>
    <x v="0"/>
    <x v="2"/>
    <n v="4"/>
    <x v="3"/>
    <x v="4"/>
  </r>
  <r>
    <n v="755"/>
    <d v="2023-04-22T00:00:00"/>
    <x v="754"/>
    <x v="1"/>
    <n v="58"/>
    <x v="0"/>
    <x v="1"/>
    <n v="3"/>
    <x v="3"/>
    <x v="8"/>
  </r>
  <r>
    <n v="756"/>
    <d v="2023-08-27T00:00:00"/>
    <x v="755"/>
    <x v="1"/>
    <n v="62"/>
    <x v="0"/>
    <x v="2"/>
    <n v="4"/>
    <x v="4"/>
    <x v="14"/>
  </r>
  <r>
    <n v="757"/>
    <d v="2023-12-25T00:00:00"/>
    <x v="756"/>
    <x v="1"/>
    <n v="43"/>
    <x v="0"/>
    <x v="2"/>
    <n v="4"/>
    <x v="4"/>
    <x v="14"/>
  </r>
  <r>
    <n v="758"/>
    <d v="2023-05-12T00:00:00"/>
    <x v="757"/>
    <x v="0"/>
    <n v="64"/>
    <x v="0"/>
    <x v="1"/>
    <n v="4"/>
    <x v="3"/>
    <x v="4"/>
  </r>
  <r>
    <n v="759"/>
    <d v="2023-07-08T00:00:00"/>
    <x v="758"/>
    <x v="0"/>
    <n v="49"/>
    <x v="0"/>
    <x v="2"/>
    <n v="2"/>
    <x v="0"/>
    <x v="4"/>
  </r>
  <r>
    <n v="760"/>
    <d v="2023-03-27T00:00:00"/>
    <x v="759"/>
    <x v="0"/>
    <n v="27"/>
    <x v="0"/>
    <x v="0"/>
    <n v="1"/>
    <x v="1"/>
    <x v="3"/>
  </r>
  <r>
    <n v="761"/>
    <d v="2023-11-07T00:00:00"/>
    <x v="760"/>
    <x v="1"/>
    <n v="33"/>
    <x v="0"/>
    <x v="1"/>
    <n v="1"/>
    <x v="1"/>
    <x v="3"/>
  </r>
  <r>
    <n v="762"/>
    <d v="2023-11-07T00:00:00"/>
    <x v="761"/>
    <x v="1"/>
    <n v="24"/>
    <x v="1"/>
    <x v="2"/>
    <n v="2"/>
    <x v="3"/>
    <x v="5"/>
  </r>
  <r>
    <n v="763"/>
    <d v="2023-02-28T00:00:00"/>
    <x v="762"/>
    <x v="0"/>
    <n v="34"/>
    <x v="0"/>
    <x v="1"/>
    <n v="2"/>
    <x v="3"/>
    <x v="5"/>
  </r>
  <r>
    <n v="764"/>
    <d v="2023-03-25T00:00:00"/>
    <x v="763"/>
    <x v="1"/>
    <n v="40"/>
    <x v="0"/>
    <x v="1"/>
    <n v="1"/>
    <x v="3"/>
    <x v="16"/>
  </r>
  <r>
    <n v="765"/>
    <d v="2023-06-09T00:00:00"/>
    <x v="764"/>
    <x v="0"/>
    <n v="43"/>
    <x v="0"/>
    <x v="1"/>
    <n v="4"/>
    <x v="0"/>
    <x v="7"/>
  </r>
  <r>
    <n v="766"/>
    <d v="2023-02-25T00:00:00"/>
    <x v="765"/>
    <x v="0"/>
    <n v="38"/>
    <x v="0"/>
    <x v="2"/>
    <n v="3"/>
    <x v="4"/>
    <x v="12"/>
  </r>
  <r>
    <n v="767"/>
    <d v="2023-10-24T00:00:00"/>
    <x v="766"/>
    <x v="0"/>
    <n v="39"/>
    <x v="0"/>
    <x v="0"/>
    <n v="3"/>
    <x v="3"/>
    <x v="8"/>
  </r>
  <r>
    <n v="768"/>
    <d v="2023-01-14T00:00:00"/>
    <x v="767"/>
    <x v="1"/>
    <n v="24"/>
    <x v="1"/>
    <x v="0"/>
    <n v="3"/>
    <x v="3"/>
    <x v="8"/>
  </r>
  <r>
    <n v="769"/>
    <d v="2023-06-09T00:00:00"/>
    <x v="768"/>
    <x v="1"/>
    <n v="31"/>
    <x v="0"/>
    <x v="2"/>
    <n v="4"/>
    <x v="2"/>
    <x v="10"/>
  </r>
  <r>
    <n v="770"/>
    <d v="2023-10-22T00:00:00"/>
    <x v="769"/>
    <x v="0"/>
    <n v="32"/>
    <x v="0"/>
    <x v="1"/>
    <n v="1"/>
    <x v="0"/>
    <x v="5"/>
  </r>
  <r>
    <n v="771"/>
    <d v="2023-12-13T00:00:00"/>
    <x v="770"/>
    <x v="0"/>
    <n v="24"/>
    <x v="1"/>
    <x v="2"/>
    <n v="2"/>
    <x v="3"/>
    <x v="5"/>
  </r>
  <r>
    <n v="772"/>
    <d v="2023-07-12T00:00:00"/>
    <x v="771"/>
    <x v="0"/>
    <n v="26"/>
    <x v="0"/>
    <x v="2"/>
    <n v="1"/>
    <x v="2"/>
    <x v="2"/>
  </r>
  <r>
    <n v="773"/>
    <d v="2023-07-23T00:00:00"/>
    <x v="772"/>
    <x v="0"/>
    <n v="25"/>
    <x v="1"/>
    <x v="2"/>
    <n v="4"/>
    <x v="1"/>
    <x v="11"/>
  </r>
  <r>
    <n v="774"/>
    <d v="2023-04-12T00:00:00"/>
    <x v="773"/>
    <x v="1"/>
    <n v="40"/>
    <x v="0"/>
    <x v="1"/>
    <n v="2"/>
    <x v="3"/>
    <x v="5"/>
  </r>
  <r>
    <n v="775"/>
    <d v="2023-02-08T00:00:00"/>
    <x v="774"/>
    <x v="1"/>
    <n v="46"/>
    <x v="0"/>
    <x v="2"/>
    <n v="4"/>
    <x v="3"/>
    <x v="4"/>
  </r>
  <r>
    <n v="776"/>
    <d v="2023-10-31T00:00:00"/>
    <x v="775"/>
    <x v="0"/>
    <n v="35"/>
    <x v="0"/>
    <x v="1"/>
    <n v="3"/>
    <x v="2"/>
    <x v="15"/>
  </r>
  <r>
    <n v="777"/>
    <d v="2023-12-20T00:00:00"/>
    <x v="776"/>
    <x v="0"/>
    <n v="48"/>
    <x v="0"/>
    <x v="2"/>
    <n v="3"/>
    <x v="0"/>
    <x v="0"/>
  </r>
  <r>
    <n v="778"/>
    <d v="2023-11-18T00:00:00"/>
    <x v="777"/>
    <x v="1"/>
    <n v="47"/>
    <x v="0"/>
    <x v="0"/>
    <n v="4"/>
    <x v="3"/>
    <x v="4"/>
  </r>
  <r>
    <n v="779"/>
    <d v="2023-05-05T00:00:00"/>
    <x v="778"/>
    <x v="1"/>
    <n v="56"/>
    <x v="0"/>
    <x v="2"/>
    <n v="2"/>
    <x v="1"/>
    <x v="1"/>
  </r>
  <r>
    <n v="780"/>
    <d v="2023-02-22T00:00:00"/>
    <x v="779"/>
    <x v="0"/>
    <n v="52"/>
    <x v="0"/>
    <x v="2"/>
    <n v="2"/>
    <x v="3"/>
    <x v="5"/>
  </r>
  <r>
    <n v="781"/>
    <d v="2023-12-23T00:00:00"/>
    <x v="780"/>
    <x v="0"/>
    <n v="35"/>
    <x v="0"/>
    <x v="0"/>
    <n v="1"/>
    <x v="1"/>
    <x v="3"/>
  </r>
  <r>
    <n v="782"/>
    <d v="2023-06-04T00:00:00"/>
    <x v="781"/>
    <x v="0"/>
    <n v="59"/>
    <x v="0"/>
    <x v="1"/>
    <n v="3"/>
    <x v="4"/>
    <x v="12"/>
  </r>
  <r>
    <n v="783"/>
    <d v="2023-12-17T00:00:00"/>
    <x v="782"/>
    <x v="1"/>
    <n v="56"/>
    <x v="0"/>
    <x v="1"/>
    <n v="1"/>
    <x v="4"/>
    <x v="13"/>
  </r>
  <r>
    <n v="784"/>
    <d v="2023-11-04T00:00:00"/>
    <x v="783"/>
    <x v="1"/>
    <n v="34"/>
    <x v="0"/>
    <x v="2"/>
    <n v="1"/>
    <x v="1"/>
    <x v="3"/>
  </r>
  <r>
    <n v="785"/>
    <d v="2023-03-03T00:00:00"/>
    <x v="784"/>
    <x v="1"/>
    <n v="31"/>
    <x v="0"/>
    <x v="0"/>
    <n v="4"/>
    <x v="0"/>
    <x v="7"/>
  </r>
  <r>
    <n v="786"/>
    <d v="2023-10-17T00:00:00"/>
    <x v="785"/>
    <x v="0"/>
    <n v="48"/>
    <x v="0"/>
    <x v="1"/>
    <n v="4"/>
    <x v="3"/>
    <x v="4"/>
  </r>
  <r>
    <n v="787"/>
    <d v="2023-01-22T00:00:00"/>
    <x v="786"/>
    <x v="0"/>
    <n v="41"/>
    <x v="0"/>
    <x v="2"/>
    <n v="1"/>
    <x v="3"/>
    <x v="16"/>
  </r>
  <r>
    <n v="788"/>
    <d v="2023-06-27T00:00:00"/>
    <x v="787"/>
    <x v="1"/>
    <n v="52"/>
    <x v="0"/>
    <x v="0"/>
    <n v="3"/>
    <x v="4"/>
    <x v="12"/>
  </r>
  <r>
    <n v="789"/>
    <d v="2023-09-30T00:00:00"/>
    <x v="788"/>
    <x v="1"/>
    <n v="61"/>
    <x v="0"/>
    <x v="1"/>
    <n v="4"/>
    <x v="1"/>
    <x v="11"/>
  </r>
  <r>
    <n v="790"/>
    <d v="2023-08-08T00:00:00"/>
    <x v="789"/>
    <x v="0"/>
    <n v="62"/>
    <x v="0"/>
    <x v="1"/>
    <n v="1"/>
    <x v="3"/>
    <x v="16"/>
  </r>
  <r>
    <n v="791"/>
    <d v="2023-12-05T00:00:00"/>
    <x v="790"/>
    <x v="1"/>
    <n v="51"/>
    <x v="0"/>
    <x v="0"/>
    <n v="1"/>
    <x v="3"/>
    <x v="16"/>
  </r>
  <r>
    <n v="792"/>
    <d v="2023-07-09T00:00:00"/>
    <x v="791"/>
    <x v="1"/>
    <n v="20"/>
    <x v="1"/>
    <x v="0"/>
    <n v="1"/>
    <x v="0"/>
    <x v="5"/>
  </r>
  <r>
    <n v="793"/>
    <d v="2023-02-05T00:00:00"/>
    <x v="792"/>
    <x v="0"/>
    <n v="54"/>
    <x v="0"/>
    <x v="0"/>
    <n v="1"/>
    <x v="2"/>
    <x v="2"/>
  </r>
  <r>
    <n v="794"/>
    <d v="2023-09-17T00:00:00"/>
    <x v="793"/>
    <x v="1"/>
    <n v="60"/>
    <x v="0"/>
    <x v="0"/>
    <n v="1"/>
    <x v="4"/>
    <x v="13"/>
  </r>
  <r>
    <n v="795"/>
    <d v="2023-11-28T00:00:00"/>
    <x v="794"/>
    <x v="0"/>
    <n v="57"/>
    <x v="0"/>
    <x v="2"/>
    <n v="1"/>
    <x v="4"/>
    <x v="13"/>
  </r>
  <r>
    <n v="796"/>
    <d v="2023-06-24T00:00:00"/>
    <x v="795"/>
    <x v="0"/>
    <n v="43"/>
    <x v="0"/>
    <x v="0"/>
    <n v="4"/>
    <x v="2"/>
    <x v="10"/>
  </r>
  <r>
    <n v="797"/>
    <d v="2023-01-07T00:00:00"/>
    <x v="796"/>
    <x v="0"/>
    <n v="40"/>
    <x v="0"/>
    <x v="1"/>
    <n v="3"/>
    <x v="3"/>
    <x v="8"/>
  </r>
  <r>
    <n v="798"/>
    <d v="2023-08-04T00:00:00"/>
    <x v="797"/>
    <x v="0"/>
    <n v="61"/>
    <x v="0"/>
    <x v="1"/>
    <n v="1"/>
    <x v="0"/>
    <x v="5"/>
  </r>
  <r>
    <n v="799"/>
    <d v="2023-09-08T00:00:00"/>
    <x v="798"/>
    <x v="0"/>
    <n v="56"/>
    <x v="0"/>
    <x v="2"/>
    <n v="2"/>
    <x v="0"/>
    <x v="4"/>
  </r>
  <r>
    <n v="800"/>
    <d v="2023-02-24T00:00:00"/>
    <x v="799"/>
    <x v="0"/>
    <n v="32"/>
    <x v="0"/>
    <x v="1"/>
    <n v="4"/>
    <x v="4"/>
    <x v="14"/>
  </r>
  <r>
    <n v="801"/>
    <d v="2023-08-10T00:00:00"/>
    <x v="800"/>
    <x v="0"/>
    <n v="21"/>
    <x v="1"/>
    <x v="1"/>
    <n v="4"/>
    <x v="0"/>
    <x v="7"/>
  </r>
  <r>
    <n v="802"/>
    <d v="2023-07-05T00:00:00"/>
    <x v="801"/>
    <x v="1"/>
    <n v="46"/>
    <x v="0"/>
    <x v="0"/>
    <n v="1"/>
    <x v="2"/>
    <x v="2"/>
  </r>
  <r>
    <n v="803"/>
    <d v="2023-11-22T00:00:00"/>
    <x v="802"/>
    <x v="0"/>
    <n v="39"/>
    <x v="0"/>
    <x v="1"/>
    <n v="4"/>
    <x v="3"/>
    <x v="4"/>
  </r>
  <r>
    <n v="804"/>
    <d v="2023-08-24T00:00:00"/>
    <x v="803"/>
    <x v="0"/>
    <n v="42"/>
    <x v="0"/>
    <x v="2"/>
    <n v="1"/>
    <x v="2"/>
    <x v="2"/>
  </r>
  <r>
    <n v="805"/>
    <d v="2023-12-29T00:00:00"/>
    <x v="804"/>
    <x v="1"/>
    <n v="30"/>
    <x v="0"/>
    <x v="0"/>
    <n v="3"/>
    <x v="1"/>
    <x v="9"/>
  </r>
  <r>
    <n v="806"/>
    <d v="2023-03-20T00:00:00"/>
    <x v="805"/>
    <x v="1"/>
    <n v="35"/>
    <x v="0"/>
    <x v="0"/>
    <n v="3"/>
    <x v="4"/>
    <x v="12"/>
  </r>
  <r>
    <n v="807"/>
    <d v="2023-08-11T00:00:00"/>
    <x v="806"/>
    <x v="1"/>
    <n v="50"/>
    <x v="0"/>
    <x v="2"/>
    <n v="4"/>
    <x v="0"/>
    <x v="7"/>
  </r>
  <r>
    <n v="808"/>
    <d v="2023-04-01T00:00:00"/>
    <x v="807"/>
    <x v="0"/>
    <n v="33"/>
    <x v="0"/>
    <x v="0"/>
    <n v="4"/>
    <x v="1"/>
    <x v="11"/>
  </r>
  <r>
    <n v="809"/>
    <d v="2023-09-25T00:00:00"/>
    <x v="808"/>
    <x v="1"/>
    <n v="62"/>
    <x v="0"/>
    <x v="0"/>
    <n v="2"/>
    <x v="0"/>
    <x v="4"/>
  </r>
  <r>
    <n v="810"/>
    <d v="2023-11-30T00:00:00"/>
    <x v="809"/>
    <x v="0"/>
    <n v="59"/>
    <x v="0"/>
    <x v="2"/>
    <n v="4"/>
    <x v="3"/>
    <x v="4"/>
  </r>
  <r>
    <n v="811"/>
    <d v="2023-05-19T00:00:00"/>
    <x v="810"/>
    <x v="0"/>
    <n v="61"/>
    <x v="0"/>
    <x v="0"/>
    <n v="2"/>
    <x v="3"/>
    <x v="5"/>
  </r>
  <r>
    <n v="812"/>
    <d v="2023-11-12T00:00:00"/>
    <x v="811"/>
    <x v="0"/>
    <n v="19"/>
    <x v="1"/>
    <x v="2"/>
    <n v="3"/>
    <x v="3"/>
    <x v="8"/>
  </r>
  <r>
    <n v="813"/>
    <d v="2023-10-03T00:00:00"/>
    <x v="812"/>
    <x v="0"/>
    <n v="52"/>
    <x v="0"/>
    <x v="2"/>
    <n v="3"/>
    <x v="0"/>
    <x v="0"/>
  </r>
  <r>
    <n v="814"/>
    <d v="2023-09-05T00:00:00"/>
    <x v="813"/>
    <x v="1"/>
    <n v="59"/>
    <x v="0"/>
    <x v="1"/>
    <n v="1"/>
    <x v="1"/>
    <x v="3"/>
  </r>
  <r>
    <n v="815"/>
    <d v="2023-08-27T00:00:00"/>
    <x v="814"/>
    <x v="1"/>
    <n v="51"/>
    <x v="0"/>
    <x v="1"/>
    <n v="3"/>
    <x v="3"/>
    <x v="8"/>
  </r>
  <r>
    <n v="816"/>
    <d v="2023-08-12T00:00:00"/>
    <x v="815"/>
    <x v="0"/>
    <n v="47"/>
    <x v="0"/>
    <x v="0"/>
    <n v="2"/>
    <x v="1"/>
    <x v="1"/>
  </r>
  <r>
    <n v="817"/>
    <d v="2023-10-31T00:00:00"/>
    <x v="816"/>
    <x v="0"/>
    <n v="30"/>
    <x v="0"/>
    <x v="0"/>
    <n v="4"/>
    <x v="0"/>
    <x v="7"/>
  </r>
  <r>
    <n v="818"/>
    <d v="2023-05-18T00:00:00"/>
    <x v="817"/>
    <x v="0"/>
    <n v="30"/>
    <x v="0"/>
    <x v="2"/>
    <n v="1"/>
    <x v="1"/>
    <x v="3"/>
  </r>
  <r>
    <n v="819"/>
    <d v="2023-06-15T00:00:00"/>
    <x v="818"/>
    <x v="1"/>
    <n v="35"/>
    <x v="0"/>
    <x v="0"/>
    <n v="2"/>
    <x v="0"/>
    <x v="4"/>
  </r>
  <r>
    <n v="820"/>
    <d v="2023-05-06T00:00:00"/>
    <x v="819"/>
    <x v="0"/>
    <n v="49"/>
    <x v="0"/>
    <x v="2"/>
    <n v="4"/>
    <x v="0"/>
    <x v="7"/>
  </r>
  <r>
    <n v="821"/>
    <d v="2023-02-14T00:00:00"/>
    <x v="820"/>
    <x v="0"/>
    <n v="49"/>
    <x v="0"/>
    <x v="2"/>
    <n v="1"/>
    <x v="4"/>
    <x v="13"/>
  </r>
  <r>
    <n v="822"/>
    <d v="2023-05-23T00:00:00"/>
    <x v="821"/>
    <x v="1"/>
    <n v="52"/>
    <x v="0"/>
    <x v="0"/>
    <n v="3"/>
    <x v="0"/>
    <x v="0"/>
  </r>
  <r>
    <n v="823"/>
    <d v="2023-08-19T00:00:00"/>
    <x v="822"/>
    <x v="1"/>
    <n v="56"/>
    <x v="0"/>
    <x v="2"/>
    <n v="2"/>
    <x v="0"/>
    <x v="4"/>
  </r>
  <r>
    <n v="824"/>
    <d v="2023-05-05T00:00:00"/>
    <x v="823"/>
    <x v="0"/>
    <n v="63"/>
    <x v="0"/>
    <x v="1"/>
    <n v="4"/>
    <x v="2"/>
    <x v="10"/>
  </r>
  <r>
    <n v="825"/>
    <d v="2023-08-26T00:00:00"/>
    <x v="824"/>
    <x v="1"/>
    <n v="46"/>
    <x v="0"/>
    <x v="0"/>
    <n v="1"/>
    <x v="3"/>
    <x v="16"/>
  </r>
  <r>
    <n v="826"/>
    <d v="2023-10-19T00:00:00"/>
    <x v="825"/>
    <x v="1"/>
    <n v="46"/>
    <x v="0"/>
    <x v="1"/>
    <n v="1"/>
    <x v="4"/>
    <x v="13"/>
  </r>
  <r>
    <n v="827"/>
    <d v="2023-11-09T00:00:00"/>
    <x v="826"/>
    <x v="0"/>
    <n v="61"/>
    <x v="0"/>
    <x v="0"/>
    <n v="3"/>
    <x v="4"/>
    <x v="12"/>
  </r>
  <r>
    <n v="828"/>
    <d v="2023-12-09T00:00:00"/>
    <x v="827"/>
    <x v="1"/>
    <n v="33"/>
    <x v="0"/>
    <x v="2"/>
    <n v="4"/>
    <x v="4"/>
    <x v="14"/>
  </r>
  <r>
    <n v="829"/>
    <d v="2023-07-14T00:00:00"/>
    <x v="828"/>
    <x v="0"/>
    <n v="61"/>
    <x v="0"/>
    <x v="0"/>
    <n v="3"/>
    <x v="2"/>
    <x v="15"/>
  </r>
  <r>
    <n v="830"/>
    <d v="2023-06-22T00:00:00"/>
    <x v="829"/>
    <x v="1"/>
    <n v="64"/>
    <x v="0"/>
    <x v="1"/>
    <n v="3"/>
    <x v="0"/>
    <x v="0"/>
  </r>
  <r>
    <n v="831"/>
    <d v="2023-01-15T00:00:00"/>
    <x v="830"/>
    <x v="0"/>
    <n v="27"/>
    <x v="0"/>
    <x v="2"/>
    <n v="4"/>
    <x v="3"/>
    <x v="4"/>
  </r>
  <r>
    <n v="832"/>
    <d v="2023-09-11T00:00:00"/>
    <x v="831"/>
    <x v="0"/>
    <n v="47"/>
    <x v="0"/>
    <x v="0"/>
    <n v="4"/>
    <x v="1"/>
    <x v="11"/>
  </r>
  <r>
    <n v="833"/>
    <d v="2023-06-16T00:00:00"/>
    <x v="832"/>
    <x v="0"/>
    <n v="42"/>
    <x v="0"/>
    <x v="0"/>
    <n v="4"/>
    <x v="0"/>
    <x v="7"/>
  </r>
  <r>
    <n v="834"/>
    <d v="2023-04-04T00:00:00"/>
    <x v="833"/>
    <x v="1"/>
    <n v="56"/>
    <x v="0"/>
    <x v="0"/>
    <n v="2"/>
    <x v="2"/>
    <x v="17"/>
  </r>
  <r>
    <n v="835"/>
    <d v="2023-09-07T00:00:00"/>
    <x v="834"/>
    <x v="0"/>
    <n v="37"/>
    <x v="0"/>
    <x v="1"/>
    <n v="4"/>
    <x v="0"/>
    <x v="7"/>
  </r>
  <r>
    <n v="836"/>
    <d v="2023-04-19T00:00:00"/>
    <x v="835"/>
    <x v="1"/>
    <n v="22"/>
    <x v="1"/>
    <x v="1"/>
    <n v="1"/>
    <x v="0"/>
    <x v="5"/>
  </r>
  <r>
    <n v="837"/>
    <d v="2023-07-01T00:00:00"/>
    <x v="836"/>
    <x v="0"/>
    <n v="18"/>
    <x v="1"/>
    <x v="0"/>
    <n v="3"/>
    <x v="2"/>
    <x v="15"/>
  </r>
  <r>
    <n v="838"/>
    <d v="2023-05-13T00:00:00"/>
    <x v="837"/>
    <x v="0"/>
    <n v="47"/>
    <x v="0"/>
    <x v="2"/>
    <n v="2"/>
    <x v="4"/>
    <x v="6"/>
  </r>
  <r>
    <n v="839"/>
    <d v="2023-06-24T00:00:00"/>
    <x v="838"/>
    <x v="1"/>
    <n v="20"/>
    <x v="1"/>
    <x v="2"/>
    <n v="4"/>
    <x v="4"/>
    <x v="14"/>
  </r>
  <r>
    <n v="840"/>
    <d v="2023-05-24T00:00:00"/>
    <x v="839"/>
    <x v="0"/>
    <n v="62"/>
    <x v="0"/>
    <x v="1"/>
    <n v="2"/>
    <x v="3"/>
    <x v="5"/>
  </r>
  <r>
    <n v="841"/>
    <d v="2023-11-02T00:00:00"/>
    <x v="840"/>
    <x v="0"/>
    <n v="31"/>
    <x v="0"/>
    <x v="2"/>
    <n v="4"/>
    <x v="3"/>
    <x v="4"/>
  </r>
  <r>
    <n v="842"/>
    <d v="2023-12-26T00:00:00"/>
    <x v="841"/>
    <x v="1"/>
    <n v="47"/>
    <x v="0"/>
    <x v="1"/>
    <n v="2"/>
    <x v="4"/>
    <x v="6"/>
  </r>
  <r>
    <n v="843"/>
    <d v="2023-05-22T00:00:00"/>
    <x v="842"/>
    <x v="0"/>
    <n v="21"/>
    <x v="1"/>
    <x v="0"/>
    <n v="3"/>
    <x v="1"/>
    <x v="9"/>
  </r>
  <r>
    <n v="844"/>
    <d v="2023-10-12T00:00:00"/>
    <x v="843"/>
    <x v="0"/>
    <n v="35"/>
    <x v="0"/>
    <x v="1"/>
    <n v="3"/>
    <x v="0"/>
    <x v="0"/>
  </r>
  <r>
    <n v="845"/>
    <d v="2023-01-06T00:00:00"/>
    <x v="844"/>
    <x v="0"/>
    <n v="54"/>
    <x v="0"/>
    <x v="1"/>
    <n v="1"/>
    <x v="1"/>
    <x v="3"/>
  </r>
  <r>
    <n v="846"/>
    <d v="2023-09-22T00:00:00"/>
    <x v="845"/>
    <x v="0"/>
    <n v="42"/>
    <x v="0"/>
    <x v="0"/>
    <n v="1"/>
    <x v="0"/>
    <x v="5"/>
  </r>
  <r>
    <n v="847"/>
    <d v="2023-04-08T00:00:00"/>
    <x v="846"/>
    <x v="1"/>
    <n v="18"/>
    <x v="1"/>
    <x v="2"/>
    <n v="4"/>
    <x v="4"/>
    <x v="14"/>
  </r>
  <r>
    <n v="848"/>
    <d v="2023-02-13T00:00:00"/>
    <x v="847"/>
    <x v="1"/>
    <n v="63"/>
    <x v="0"/>
    <x v="1"/>
    <n v="3"/>
    <x v="3"/>
    <x v="8"/>
  </r>
  <r>
    <n v="849"/>
    <d v="2023-05-04T00:00:00"/>
    <x v="848"/>
    <x v="0"/>
    <n v="32"/>
    <x v="0"/>
    <x v="1"/>
    <n v="2"/>
    <x v="3"/>
    <x v="5"/>
  </r>
  <r>
    <n v="850"/>
    <d v="2023-07-28T00:00:00"/>
    <x v="849"/>
    <x v="1"/>
    <n v="26"/>
    <x v="0"/>
    <x v="0"/>
    <n v="2"/>
    <x v="1"/>
    <x v="1"/>
  </r>
  <r>
    <n v="851"/>
    <d v="2023-09-08T00:00:00"/>
    <x v="850"/>
    <x v="0"/>
    <n v="32"/>
    <x v="0"/>
    <x v="2"/>
    <n v="2"/>
    <x v="3"/>
    <x v="5"/>
  </r>
  <r>
    <n v="852"/>
    <d v="2023-10-12T00:00:00"/>
    <x v="851"/>
    <x v="1"/>
    <n v="41"/>
    <x v="0"/>
    <x v="1"/>
    <n v="1"/>
    <x v="4"/>
    <x v="13"/>
  </r>
  <r>
    <n v="853"/>
    <d v="2023-05-04T00:00:00"/>
    <x v="852"/>
    <x v="0"/>
    <n v="21"/>
    <x v="1"/>
    <x v="0"/>
    <n v="2"/>
    <x v="1"/>
    <x v="1"/>
  </r>
  <r>
    <n v="854"/>
    <d v="2023-12-20T00:00:00"/>
    <x v="853"/>
    <x v="0"/>
    <n v="29"/>
    <x v="0"/>
    <x v="1"/>
    <n v="1"/>
    <x v="0"/>
    <x v="5"/>
  </r>
  <r>
    <n v="855"/>
    <d v="2023-09-01T00:00:00"/>
    <x v="854"/>
    <x v="0"/>
    <n v="54"/>
    <x v="0"/>
    <x v="0"/>
    <n v="1"/>
    <x v="3"/>
    <x v="16"/>
  </r>
  <r>
    <n v="856"/>
    <d v="2023-11-27T00:00:00"/>
    <x v="855"/>
    <x v="0"/>
    <n v="54"/>
    <x v="0"/>
    <x v="2"/>
    <n v="4"/>
    <x v="2"/>
    <x v="10"/>
  </r>
  <r>
    <n v="857"/>
    <d v="2023-12-31T00:00:00"/>
    <x v="856"/>
    <x v="0"/>
    <n v="60"/>
    <x v="0"/>
    <x v="2"/>
    <n v="2"/>
    <x v="3"/>
    <x v="5"/>
  </r>
  <r>
    <n v="858"/>
    <d v="2023-09-09T00:00:00"/>
    <x v="857"/>
    <x v="0"/>
    <n v="23"/>
    <x v="1"/>
    <x v="2"/>
    <n v="2"/>
    <x v="0"/>
    <x v="4"/>
  </r>
  <r>
    <n v="859"/>
    <d v="2023-08-18T00:00:00"/>
    <x v="858"/>
    <x v="1"/>
    <n v="56"/>
    <x v="0"/>
    <x v="2"/>
    <n v="3"/>
    <x v="1"/>
    <x v="9"/>
  </r>
  <r>
    <n v="860"/>
    <d v="2023-01-09T00:00:00"/>
    <x v="859"/>
    <x v="0"/>
    <n v="63"/>
    <x v="0"/>
    <x v="1"/>
    <n v="4"/>
    <x v="0"/>
    <x v="7"/>
  </r>
  <r>
    <n v="861"/>
    <d v="2023-02-17T00:00:00"/>
    <x v="860"/>
    <x v="1"/>
    <n v="41"/>
    <x v="0"/>
    <x v="1"/>
    <n v="3"/>
    <x v="2"/>
    <x v="15"/>
  </r>
  <r>
    <n v="862"/>
    <d v="2023-05-31T00:00:00"/>
    <x v="861"/>
    <x v="0"/>
    <n v="28"/>
    <x v="0"/>
    <x v="2"/>
    <n v="4"/>
    <x v="4"/>
    <x v="14"/>
  </r>
  <r>
    <n v="863"/>
    <d v="2023-04-24T00:00:00"/>
    <x v="862"/>
    <x v="1"/>
    <n v="30"/>
    <x v="0"/>
    <x v="2"/>
    <n v="2"/>
    <x v="3"/>
    <x v="5"/>
  </r>
  <r>
    <n v="864"/>
    <d v="2023-07-27T00:00:00"/>
    <x v="863"/>
    <x v="1"/>
    <n v="51"/>
    <x v="0"/>
    <x v="2"/>
    <n v="1"/>
    <x v="1"/>
    <x v="3"/>
  </r>
  <r>
    <n v="865"/>
    <d v="2023-12-21T00:00:00"/>
    <x v="864"/>
    <x v="1"/>
    <n v="42"/>
    <x v="0"/>
    <x v="1"/>
    <n v="1"/>
    <x v="4"/>
    <x v="13"/>
  </r>
  <r>
    <n v="866"/>
    <d v="2023-05-05T00:00:00"/>
    <x v="865"/>
    <x v="0"/>
    <n v="24"/>
    <x v="1"/>
    <x v="2"/>
    <n v="1"/>
    <x v="0"/>
    <x v="5"/>
  </r>
  <r>
    <n v="867"/>
    <d v="2023-06-06T00:00:00"/>
    <x v="866"/>
    <x v="0"/>
    <n v="21"/>
    <x v="1"/>
    <x v="2"/>
    <n v="1"/>
    <x v="1"/>
    <x v="3"/>
  </r>
  <r>
    <n v="868"/>
    <d v="2023-12-06T00:00:00"/>
    <x v="867"/>
    <x v="1"/>
    <n v="25"/>
    <x v="1"/>
    <x v="2"/>
    <n v="1"/>
    <x v="4"/>
    <x v="13"/>
  </r>
  <r>
    <n v="869"/>
    <d v="2023-10-25T00:00:00"/>
    <x v="868"/>
    <x v="0"/>
    <n v="37"/>
    <x v="0"/>
    <x v="0"/>
    <n v="3"/>
    <x v="1"/>
    <x v="9"/>
  </r>
  <r>
    <n v="870"/>
    <d v="2023-07-08T00:00:00"/>
    <x v="869"/>
    <x v="1"/>
    <n v="46"/>
    <x v="0"/>
    <x v="2"/>
    <n v="4"/>
    <x v="2"/>
    <x v="10"/>
  </r>
  <r>
    <n v="871"/>
    <d v="2023-08-31T00:00:00"/>
    <x v="870"/>
    <x v="0"/>
    <n v="62"/>
    <x v="0"/>
    <x v="0"/>
    <n v="2"/>
    <x v="2"/>
    <x v="17"/>
  </r>
  <r>
    <n v="872"/>
    <d v="2023-10-11T00:00:00"/>
    <x v="871"/>
    <x v="1"/>
    <n v="63"/>
    <x v="0"/>
    <x v="0"/>
    <n v="3"/>
    <x v="3"/>
    <x v="8"/>
  </r>
  <r>
    <n v="873"/>
    <d v="2023-09-29T00:00:00"/>
    <x v="872"/>
    <x v="1"/>
    <n v="27"/>
    <x v="0"/>
    <x v="2"/>
    <n v="4"/>
    <x v="3"/>
    <x v="4"/>
  </r>
  <r>
    <n v="874"/>
    <d v="2023-06-26T00:00:00"/>
    <x v="873"/>
    <x v="0"/>
    <n v="60"/>
    <x v="0"/>
    <x v="0"/>
    <n v="1"/>
    <x v="2"/>
    <x v="2"/>
  </r>
  <r>
    <n v="875"/>
    <d v="2023-08-06T00:00:00"/>
    <x v="874"/>
    <x v="1"/>
    <n v="51"/>
    <x v="0"/>
    <x v="2"/>
    <n v="4"/>
    <x v="1"/>
    <x v="11"/>
  </r>
  <r>
    <n v="876"/>
    <d v="2023-10-09T00:00:00"/>
    <x v="875"/>
    <x v="0"/>
    <n v="43"/>
    <x v="0"/>
    <x v="1"/>
    <n v="4"/>
    <x v="2"/>
    <x v="10"/>
  </r>
  <r>
    <n v="877"/>
    <d v="2023-06-19T00:00:00"/>
    <x v="876"/>
    <x v="1"/>
    <n v="58"/>
    <x v="0"/>
    <x v="1"/>
    <n v="1"/>
    <x v="3"/>
    <x v="16"/>
  </r>
  <r>
    <n v="878"/>
    <d v="2023-06-30T00:00:00"/>
    <x v="877"/>
    <x v="1"/>
    <n v="20"/>
    <x v="1"/>
    <x v="1"/>
    <n v="1"/>
    <x v="2"/>
    <x v="2"/>
  </r>
  <r>
    <n v="879"/>
    <d v="2023-12-26T00:00:00"/>
    <x v="878"/>
    <x v="0"/>
    <n v="23"/>
    <x v="1"/>
    <x v="1"/>
    <n v="1"/>
    <x v="2"/>
    <x v="2"/>
  </r>
  <r>
    <n v="880"/>
    <d v="2023-08-21T00:00:00"/>
    <x v="879"/>
    <x v="0"/>
    <n v="22"/>
    <x v="1"/>
    <x v="0"/>
    <n v="2"/>
    <x v="1"/>
    <x v="1"/>
  </r>
  <r>
    <n v="881"/>
    <d v="2023-05-19T00:00:00"/>
    <x v="880"/>
    <x v="0"/>
    <n v="22"/>
    <x v="1"/>
    <x v="2"/>
    <n v="1"/>
    <x v="4"/>
    <x v="13"/>
  </r>
  <r>
    <n v="882"/>
    <d v="2023-06-06T00:00:00"/>
    <x v="881"/>
    <x v="1"/>
    <n v="64"/>
    <x v="0"/>
    <x v="2"/>
    <n v="2"/>
    <x v="3"/>
    <x v="5"/>
  </r>
  <r>
    <n v="883"/>
    <d v="2023-05-09T00:00:00"/>
    <x v="882"/>
    <x v="0"/>
    <n v="40"/>
    <x v="0"/>
    <x v="2"/>
    <n v="1"/>
    <x v="1"/>
    <x v="3"/>
  </r>
  <r>
    <n v="884"/>
    <d v="2023-04-29T00:00:00"/>
    <x v="883"/>
    <x v="1"/>
    <n v="26"/>
    <x v="0"/>
    <x v="1"/>
    <n v="2"/>
    <x v="2"/>
    <x v="17"/>
  </r>
  <r>
    <n v="885"/>
    <d v="2023-03-03T00:00:00"/>
    <x v="884"/>
    <x v="1"/>
    <n v="52"/>
    <x v="0"/>
    <x v="1"/>
    <n v="4"/>
    <x v="2"/>
    <x v="10"/>
  </r>
  <r>
    <n v="886"/>
    <d v="2023-04-09T00:00:00"/>
    <x v="885"/>
    <x v="0"/>
    <n v="37"/>
    <x v="0"/>
    <x v="2"/>
    <n v="3"/>
    <x v="4"/>
    <x v="12"/>
  </r>
  <r>
    <n v="887"/>
    <d v="2023-06-11T00:00:00"/>
    <x v="886"/>
    <x v="0"/>
    <n v="59"/>
    <x v="0"/>
    <x v="1"/>
    <n v="4"/>
    <x v="3"/>
    <x v="4"/>
  </r>
  <r>
    <n v="888"/>
    <d v="2023-03-03T00:00:00"/>
    <x v="887"/>
    <x v="1"/>
    <n v="52"/>
    <x v="0"/>
    <x v="2"/>
    <n v="4"/>
    <x v="3"/>
    <x v="4"/>
  </r>
  <r>
    <n v="889"/>
    <d v="2023-10-02T00:00:00"/>
    <x v="888"/>
    <x v="1"/>
    <n v="35"/>
    <x v="0"/>
    <x v="2"/>
    <n v="1"/>
    <x v="0"/>
    <x v="5"/>
  </r>
  <r>
    <n v="890"/>
    <d v="2023-12-20T00:00:00"/>
    <x v="889"/>
    <x v="0"/>
    <n v="34"/>
    <x v="0"/>
    <x v="2"/>
    <n v="2"/>
    <x v="3"/>
    <x v="5"/>
  </r>
  <r>
    <n v="891"/>
    <d v="2023-04-05T00:00:00"/>
    <x v="890"/>
    <x v="0"/>
    <n v="41"/>
    <x v="0"/>
    <x v="2"/>
    <n v="3"/>
    <x v="4"/>
    <x v="12"/>
  </r>
  <r>
    <n v="892"/>
    <d v="2023-04-09T00:00:00"/>
    <x v="891"/>
    <x v="0"/>
    <n v="20"/>
    <x v="1"/>
    <x v="2"/>
    <n v="1"/>
    <x v="0"/>
    <x v="5"/>
  </r>
  <r>
    <n v="893"/>
    <d v="2023-04-21T00:00:00"/>
    <x v="892"/>
    <x v="0"/>
    <n v="49"/>
    <x v="0"/>
    <x v="2"/>
    <n v="1"/>
    <x v="0"/>
    <x v="5"/>
  </r>
  <r>
    <n v="894"/>
    <d v="2023-09-05T00:00:00"/>
    <x v="893"/>
    <x v="0"/>
    <n v="52"/>
    <x v="0"/>
    <x v="2"/>
    <n v="1"/>
    <x v="2"/>
    <x v="2"/>
  </r>
  <r>
    <n v="895"/>
    <d v="2023-05-22T00:00:00"/>
    <x v="894"/>
    <x v="1"/>
    <n v="55"/>
    <x v="0"/>
    <x v="1"/>
    <n v="4"/>
    <x v="2"/>
    <x v="10"/>
  </r>
  <r>
    <n v="896"/>
    <d v="2023-10-29T00:00:00"/>
    <x v="895"/>
    <x v="1"/>
    <n v="30"/>
    <x v="0"/>
    <x v="2"/>
    <n v="2"/>
    <x v="3"/>
    <x v="5"/>
  </r>
  <r>
    <n v="897"/>
    <d v="2023-09-26T00:00:00"/>
    <x v="896"/>
    <x v="1"/>
    <n v="64"/>
    <x v="0"/>
    <x v="2"/>
    <n v="2"/>
    <x v="0"/>
    <x v="4"/>
  </r>
  <r>
    <n v="898"/>
    <d v="2023-11-02T00:00:00"/>
    <x v="897"/>
    <x v="1"/>
    <n v="42"/>
    <x v="0"/>
    <x v="1"/>
    <n v="3"/>
    <x v="2"/>
    <x v="15"/>
  </r>
  <r>
    <n v="899"/>
    <d v="2023-05-25T00:00:00"/>
    <x v="898"/>
    <x v="0"/>
    <n v="26"/>
    <x v="0"/>
    <x v="1"/>
    <n v="2"/>
    <x v="4"/>
    <x v="6"/>
  </r>
  <r>
    <n v="900"/>
    <d v="2023-02-21T00:00:00"/>
    <x v="899"/>
    <x v="0"/>
    <n v="21"/>
    <x v="1"/>
    <x v="1"/>
    <n v="2"/>
    <x v="2"/>
    <x v="17"/>
  </r>
  <r>
    <n v="901"/>
    <d v="2023-04-10T00:00:00"/>
    <x v="900"/>
    <x v="0"/>
    <n v="31"/>
    <x v="0"/>
    <x v="2"/>
    <n v="1"/>
    <x v="2"/>
    <x v="2"/>
  </r>
  <r>
    <n v="902"/>
    <d v="2023-06-01T00:00:00"/>
    <x v="901"/>
    <x v="1"/>
    <n v="54"/>
    <x v="0"/>
    <x v="0"/>
    <n v="1"/>
    <x v="0"/>
    <x v="5"/>
  </r>
  <r>
    <n v="903"/>
    <d v="2023-04-27T00:00:00"/>
    <x v="902"/>
    <x v="1"/>
    <n v="51"/>
    <x v="0"/>
    <x v="0"/>
    <n v="4"/>
    <x v="0"/>
    <x v="7"/>
  </r>
  <r>
    <n v="904"/>
    <d v="2023-07-04T00:00:00"/>
    <x v="903"/>
    <x v="0"/>
    <n v="28"/>
    <x v="0"/>
    <x v="1"/>
    <n v="1"/>
    <x v="1"/>
    <x v="3"/>
  </r>
  <r>
    <n v="905"/>
    <d v="2023-04-02T00:00:00"/>
    <x v="904"/>
    <x v="0"/>
    <n v="58"/>
    <x v="0"/>
    <x v="0"/>
    <n v="1"/>
    <x v="4"/>
    <x v="13"/>
  </r>
  <r>
    <n v="906"/>
    <d v="2023-06-04T00:00:00"/>
    <x v="905"/>
    <x v="1"/>
    <n v="20"/>
    <x v="1"/>
    <x v="1"/>
    <n v="1"/>
    <x v="0"/>
    <x v="5"/>
  </r>
  <r>
    <n v="907"/>
    <d v="2023-01-08T00:00:00"/>
    <x v="906"/>
    <x v="1"/>
    <n v="45"/>
    <x v="0"/>
    <x v="2"/>
    <n v="1"/>
    <x v="3"/>
    <x v="16"/>
  </r>
  <r>
    <n v="908"/>
    <d v="2023-12-29T00:00:00"/>
    <x v="907"/>
    <x v="0"/>
    <n v="46"/>
    <x v="0"/>
    <x v="0"/>
    <n v="4"/>
    <x v="4"/>
    <x v="14"/>
  </r>
  <r>
    <n v="909"/>
    <d v="2023-10-01T00:00:00"/>
    <x v="908"/>
    <x v="0"/>
    <n v="26"/>
    <x v="0"/>
    <x v="2"/>
    <n v="1"/>
    <x v="4"/>
    <x v="13"/>
  </r>
  <r>
    <n v="910"/>
    <d v="2023-03-06T00:00:00"/>
    <x v="909"/>
    <x v="1"/>
    <n v="20"/>
    <x v="1"/>
    <x v="0"/>
    <n v="3"/>
    <x v="0"/>
    <x v="0"/>
  </r>
  <r>
    <n v="911"/>
    <d v="2023-05-21T00:00:00"/>
    <x v="910"/>
    <x v="0"/>
    <n v="42"/>
    <x v="0"/>
    <x v="2"/>
    <n v="3"/>
    <x v="4"/>
    <x v="12"/>
  </r>
  <r>
    <n v="912"/>
    <d v="2023-01-24T00:00:00"/>
    <x v="911"/>
    <x v="0"/>
    <n v="51"/>
    <x v="0"/>
    <x v="0"/>
    <n v="3"/>
    <x v="0"/>
    <x v="0"/>
  </r>
  <r>
    <n v="913"/>
    <d v="2023-01-28T00:00:00"/>
    <x v="912"/>
    <x v="0"/>
    <n v="29"/>
    <x v="0"/>
    <x v="2"/>
    <n v="3"/>
    <x v="2"/>
    <x v="15"/>
  </r>
  <r>
    <n v="914"/>
    <d v="2023-10-11T00:00:00"/>
    <x v="913"/>
    <x v="1"/>
    <n v="59"/>
    <x v="0"/>
    <x v="2"/>
    <n v="1"/>
    <x v="1"/>
    <x v="3"/>
  </r>
  <r>
    <n v="915"/>
    <d v="2023-05-30T00:00:00"/>
    <x v="914"/>
    <x v="1"/>
    <n v="26"/>
    <x v="0"/>
    <x v="0"/>
    <n v="3"/>
    <x v="2"/>
    <x v="15"/>
  </r>
  <r>
    <n v="916"/>
    <d v="2023-12-24T00:00:00"/>
    <x v="915"/>
    <x v="1"/>
    <n v="32"/>
    <x v="0"/>
    <x v="2"/>
    <n v="1"/>
    <x v="0"/>
    <x v="5"/>
  </r>
  <r>
    <n v="917"/>
    <d v="2023-03-06T00:00:00"/>
    <x v="916"/>
    <x v="1"/>
    <n v="57"/>
    <x v="0"/>
    <x v="2"/>
    <n v="4"/>
    <x v="0"/>
    <x v="7"/>
  </r>
  <r>
    <n v="918"/>
    <d v="2023-11-23T00:00:00"/>
    <x v="917"/>
    <x v="1"/>
    <n v="42"/>
    <x v="0"/>
    <x v="2"/>
    <n v="3"/>
    <x v="2"/>
    <x v="15"/>
  </r>
  <r>
    <n v="919"/>
    <d v="2023-09-09T00:00:00"/>
    <x v="918"/>
    <x v="1"/>
    <n v="22"/>
    <x v="1"/>
    <x v="0"/>
    <n v="2"/>
    <x v="3"/>
    <x v="5"/>
  </r>
  <r>
    <n v="920"/>
    <d v="2023-02-22T00:00:00"/>
    <x v="919"/>
    <x v="1"/>
    <n v="28"/>
    <x v="0"/>
    <x v="0"/>
    <n v="3"/>
    <x v="3"/>
    <x v="8"/>
  </r>
  <r>
    <n v="921"/>
    <d v="2023-01-07T00:00:00"/>
    <x v="920"/>
    <x v="0"/>
    <n v="51"/>
    <x v="0"/>
    <x v="2"/>
    <n v="3"/>
    <x v="3"/>
    <x v="8"/>
  </r>
  <r>
    <n v="922"/>
    <d v="2023-10-21T00:00:00"/>
    <x v="921"/>
    <x v="0"/>
    <n v="41"/>
    <x v="0"/>
    <x v="2"/>
    <n v="1"/>
    <x v="0"/>
    <x v="5"/>
  </r>
  <r>
    <n v="923"/>
    <d v="2023-05-26T00:00:00"/>
    <x v="922"/>
    <x v="0"/>
    <n v="32"/>
    <x v="0"/>
    <x v="0"/>
    <n v="3"/>
    <x v="4"/>
    <x v="12"/>
  </r>
  <r>
    <n v="924"/>
    <d v="2023-08-29T00:00:00"/>
    <x v="923"/>
    <x v="0"/>
    <n v="55"/>
    <x v="0"/>
    <x v="0"/>
    <n v="2"/>
    <x v="0"/>
    <x v="4"/>
  </r>
  <r>
    <n v="925"/>
    <d v="2023-09-03T00:00:00"/>
    <x v="924"/>
    <x v="0"/>
    <n v="25"/>
    <x v="1"/>
    <x v="2"/>
    <n v="1"/>
    <x v="4"/>
    <x v="13"/>
  </r>
  <r>
    <n v="926"/>
    <d v="2023-08-14T00:00:00"/>
    <x v="925"/>
    <x v="0"/>
    <n v="22"/>
    <x v="1"/>
    <x v="2"/>
    <n v="1"/>
    <x v="2"/>
    <x v="2"/>
  </r>
  <r>
    <n v="927"/>
    <d v="2023-06-24T00:00:00"/>
    <x v="926"/>
    <x v="0"/>
    <n v="43"/>
    <x v="0"/>
    <x v="2"/>
    <n v="4"/>
    <x v="1"/>
    <x v="11"/>
  </r>
  <r>
    <n v="928"/>
    <d v="2023-04-05T00:00:00"/>
    <x v="927"/>
    <x v="1"/>
    <n v="35"/>
    <x v="0"/>
    <x v="1"/>
    <n v="4"/>
    <x v="4"/>
    <x v="14"/>
  </r>
  <r>
    <n v="929"/>
    <d v="2023-01-27T00:00:00"/>
    <x v="928"/>
    <x v="1"/>
    <n v="23"/>
    <x v="1"/>
    <x v="0"/>
    <n v="3"/>
    <x v="3"/>
    <x v="8"/>
  </r>
  <r>
    <n v="930"/>
    <d v="2023-05-10T00:00:00"/>
    <x v="929"/>
    <x v="0"/>
    <n v="54"/>
    <x v="0"/>
    <x v="1"/>
    <n v="4"/>
    <x v="0"/>
    <x v="7"/>
  </r>
  <r>
    <n v="931"/>
    <d v="2023-09-02T00:00:00"/>
    <x v="930"/>
    <x v="0"/>
    <n v="30"/>
    <x v="0"/>
    <x v="0"/>
    <n v="4"/>
    <x v="2"/>
    <x v="10"/>
  </r>
  <r>
    <n v="932"/>
    <d v="2023-02-28T00:00:00"/>
    <x v="931"/>
    <x v="1"/>
    <n v="45"/>
    <x v="0"/>
    <x v="0"/>
    <n v="4"/>
    <x v="3"/>
    <x v="4"/>
  </r>
  <r>
    <n v="933"/>
    <d v="2023-02-03T00:00:00"/>
    <x v="932"/>
    <x v="0"/>
    <n v="22"/>
    <x v="1"/>
    <x v="0"/>
    <n v="1"/>
    <x v="2"/>
    <x v="2"/>
  </r>
  <r>
    <n v="934"/>
    <d v="2023-07-25T00:00:00"/>
    <x v="933"/>
    <x v="0"/>
    <n v="30"/>
    <x v="0"/>
    <x v="0"/>
    <n v="1"/>
    <x v="1"/>
    <x v="3"/>
  </r>
  <r>
    <n v="935"/>
    <d v="2023-09-09T00:00:00"/>
    <x v="934"/>
    <x v="1"/>
    <n v="34"/>
    <x v="0"/>
    <x v="0"/>
    <n v="1"/>
    <x v="0"/>
    <x v="5"/>
  </r>
  <r>
    <n v="936"/>
    <d v="2023-02-07T00:00:00"/>
    <x v="935"/>
    <x v="0"/>
    <n v="57"/>
    <x v="0"/>
    <x v="0"/>
    <n v="4"/>
    <x v="0"/>
    <x v="7"/>
  </r>
  <r>
    <n v="937"/>
    <d v="2023-10-23T00:00:00"/>
    <x v="936"/>
    <x v="1"/>
    <n v="62"/>
    <x v="0"/>
    <x v="0"/>
    <n v="1"/>
    <x v="1"/>
    <x v="3"/>
  </r>
  <r>
    <n v="938"/>
    <d v="2023-11-19T00:00:00"/>
    <x v="937"/>
    <x v="0"/>
    <n v="49"/>
    <x v="0"/>
    <x v="1"/>
    <n v="4"/>
    <x v="0"/>
    <x v="7"/>
  </r>
  <r>
    <n v="939"/>
    <d v="2023-12-18T00:00:00"/>
    <x v="938"/>
    <x v="1"/>
    <n v="46"/>
    <x v="0"/>
    <x v="2"/>
    <n v="1"/>
    <x v="4"/>
    <x v="13"/>
  </r>
  <r>
    <n v="940"/>
    <d v="2023-01-28T00:00:00"/>
    <x v="939"/>
    <x v="1"/>
    <n v="20"/>
    <x v="1"/>
    <x v="2"/>
    <n v="1"/>
    <x v="2"/>
    <x v="2"/>
  </r>
  <r>
    <n v="941"/>
    <d v="2023-03-19T00:00:00"/>
    <x v="940"/>
    <x v="1"/>
    <n v="57"/>
    <x v="0"/>
    <x v="1"/>
    <n v="2"/>
    <x v="3"/>
    <x v="5"/>
  </r>
  <r>
    <n v="942"/>
    <d v="2023-03-18T00:00:00"/>
    <x v="941"/>
    <x v="0"/>
    <n v="51"/>
    <x v="0"/>
    <x v="1"/>
    <n v="3"/>
    <x v="1"/>
    <x v="9"/>
  </r>
  <r>
    <n v="943"/>
    <d v="2023-10-16T00:00:00"/>
    <x v="942"/>
    <x v="1"/>
    <n v="57"/>
    <x v="0"/>
    <x v="1"/>
    <n v="4"/>
    <x v="4"/>
    <x v="14"/>
  </r>
  <r>
    <n v="944"/>
    <d v="2023-06-05T00:00:00"/>
    <x v="943"/>
    <x v="0"/>
    <n v="44"/>
    <x v="0"/>
    <x v="1"/>
    <n v="2"/>
    <x v="3"/>
    <x v="5"/>
  </r>
  <r>
    <n v="945"/>
    <d v="2023-02-13T00:00:00"/>
    <x v="944"/>
    <x v="0"/>
    <n v="30"/>
    <x v="0"/>
    <x v="0"/>
    <n v="1"/>
    <x v="3"/>
    <x v="16"/>
  </r>
  <r>
    <n v="946"/>
    <d v="2023-05-08T00:00:00"/>
    <x v="945"/>
    <x v="0"/>
    <n v="62"/>
    <x v="0"/>
    <x v="2"/>
    <n v="4"/>
    <x v="1"/>
    <x v="11"/>
  </r>
  <r>
    <n v="947"/>
    <d v="2023-03-02T00:00:00"/>
    <x v="946"/>
    <x v="0"/>
    <n v="50"/>
    <x v="0"/>
    <x v="0"/>
    <n v="1"/>
    <x v="4"/>
    <x v="13"/>
  </r>
  <r>
    <n v="948"/>
    <d v="2023-10-13T00:00:00"/>
    <x v="947"/>
    <x v="1"/>
    <n v="23"/>
    <x v="1"/>
    <x v="2"/>
    <n v="3"/>
    <x v="3"/>
    <x v="8"/>
  </r>
  <r>
    <n v="949"/>
    <d v="2023-08-02T00:00:00"/>
    <x v="948"/>
    <x v="1"/>
    <n v="41"/>
    <x v="0"/>
    <x v="2"/>
    <n v="2"/>
    <x v="3"/>
    <x v="5"/>
  </r>
  <r>
    <n v="950"/>
    <d v="2023-11-07T00:00:00"/>
    <x v="949"/>
    <x v="0"/>
    <n v="36"/>
    <x v="0"/>
    <x v="1"/>
    <n v="3"/>
    <x v="4"/>
    <x v="12"/>
  </r>
  <r>
    <n v="951"/>
    <d v="2023-11-02T00:00:00"/>
    <x v="950"/>
    <x v="0"/>
    <n v="33"/>
    <x v="0"/>
    <x v="0"/>
    <n v="2"/>
    <x v="0"/>
    <x v="4"/>
  </r>
  <r>
    <n v="952"/>
    <d v="2023-11-13T00:00:00"/>
    <x v="951"/>
    <x v="1"/>
    <n v="57"/>
    <x v="0"/>
    <x v="1"/>
    <n v="1"/>
    <x v="3"/>
    <x v="16"/>
  </r>
  <r>
    <n v="953"/>
    <d v="2023-04-26T00:00:00"/>
    <x v="952"/>
    <x v="0"/>
    <n v="45"/>
    <x v="0"/>
    <x v="0"/>
    <n v="3"/>
    <x v="2"/>
    <x v="15"/>
  </r>
  <r>
    <n v="954"/>
    <d v="2023-09-25T00:00:00"/>
    <x v="953"/>
    <x v="1"/>
    <n v="50"/>
    <x v="0"/>
    <x v="2"/>
    <n v="3"/>
    <x v="4"/>
    <x v="12"/>
  </r>
  <r>
    <n v="955"/>
    <d v="2023-07-14T00:00:00"/>
    <x v="954"/>
    <x v="0"/>
    <n v="58"/>
    <x v="0"/>
    <x v="1"/>
    <n v="1"/>
    <x v="3"/>
    <x v="16"/>
  </r>
  <r>
    <n v="956"/>
    <d v="2023-08-19T00:00:00"/>
    <x v="955"/>
    <x v="0"/>
    <n v="30"/>
    <x v="0"/>
    <x v="1"/>
    <n v="3"/>
    <x v="1"/>
    <x v="9"/>
  </r>
  <r>
    <n v="957"/>
    <d v="2023-08-15T00:00:00"/>
    <x v="956"/>
    <x v="1"/>
    <n v="60"/>
    <x v="0"/>
    <x v="2"/>
    <n v="4"/>
    <x v="2"/>
    <x v="10"/>
  </r>
  <r>
    <n v="958"/>
    <d v="2023-06-02T00:00:00"/>
    <x v="957"/>
    <x v="0"/>
    <n v="62"/>
    <x v="0"/>
    <x v="2"/>
    <n v="2"/>
    <x v="3"/>
    <x v="5"/>
  </r>
  <r>
    <n v="959"/>
    <d v="2023-10-29T00:00:00"/>
    <x v="958"/>
    <x v="1"/>
    <n v="42"/>
    <x v="0"/>
    <x v="2"/>
    <n v="2"/>
    <x v="2"/>
    <x v="17"/>
  </r>
  <r>
    <n v="960"/>
    <d v="2023-08-08T00:00:00"/>
    <x v="959"/>
    <x v="0"/>
    <n v="59"/>
    <x v="0"/>
    <x v="1"/>
    <n v="2"/>
    <x v="2"/>
    <x v="17"/>
  </r>
  <r>
    <n v="961"/>
    <d v="2023-06-06T00:00:00"/>
    <x v="960"/>
    <x v="0"/>
    <n v="53"/>
    <x v="0"/>
    <x v="0"/>
    <n v="4"/>
    <x v="0"/>
    <x v="7"/>
  </r>
  <r>
    <n v="962"/>
    <d v="2023-10-19T00:00:00"/>
    <x v="961"/>
    <x v="0"/>
    <n v="44"/>
    <x v="0"/>
    <x v="1"/>
    <n v="2"/>
    <x v="2"/>
    <x v="17"/>
  </r>
  <r>
    <n v="963"/>
    <d v="2023-11-14T00:00:00"/>
    <x v="962"/>
    <x v="1"/>
    <n v="55"/>
    <x v="0"/>
    <x v="0"/>
    <n v="1"/>
    <x v="0"/>
    <x v="5"/>
  </r>
  <r>
    <n v="964"/>
    <d v="2023-01-31T00:00:00"/>
    <x v="963"/>
    <x v="0"/>
    <n v="24"/>
    <x v="1"/>
    <x v="1"/>
    <n v="3"/>
    <x v="4"/>
    <x v="12"/>
  </r>
  <r>
    <n v="965"/>
    <d v="2023-11-09T00:00:00"/>
    <x v="964"/>
    <x v="0"/>
    <n v="22"/>
    <x v="1"/>
    <x v="1"/>
    <n v="4"/>
    <x v="0"/>
    <x v="7"/>
  </r>
  <r>
    <n v="966"/>
    <d v="2023-02-20T00:00:00"/>
    <x v="965"/>
    <x v="0"/>
    <n v="60"/>
    <x v="0"/>
    <x v="2"/>
    <n v="2"/>
    <x v="1"/>
    <x v="1"/>
  </r>
  <r>
    <n v="967"/>
    <d v="2023-04-17T00:00:00"/>
    <x v="966"/>
    <x v="0"/>
    <n v="62"/>
    <x v="0"/>
    <x v="0"/>
    <n v="1"/>
    <x v="3"/>
    <x v="16"/>
  </r>
  <r>
    <n v="968"/>
    <d v="2023-11-17T00:00:00"/>
    <x v="967"/>
    <x v="1"/>
    <n v="48"/>
    <x v="0"/>
    <x v="1"/>
    <n v="3"/>
    <x v="4"/>
    <x v="12"/>
  </r>
  <r>
    <n v="969"/>
    <d v="2023-04-19T00:00:00"/>
    <x v="968"/>
    <x v="1"/>
    <n v="40"/>
    <x v="0"/>
    <x v="1"/>
    <n v="3"/>
    <x v="4"/>
    <x v="12"/>
  </r>
  <r>
    <n v="970"/>
    <d v="2023-05-16T00:00:00"/>
    <x v="969"/>
    <x v="0"/>
    <n v="59"/>
    <x v="0"/>
    <x v="2"/>
    <n v="4"/>
    <x v="1"/>
    <x v="11"/>
  </r>
  <r>
    <n v="971"/>
    <d v="2023-12-05T00:00:00"/>
    <x v="970"/>
    <x v="1"/>
    <n v="27"/>
    <x v="0"/>
    <x v="2"/>
    <n v="4"/>
    <x v="0"/>
    <x v="7"/>
  </r>
  <r>
    <n v="972"/>
    <d v="2023-02-11T00:00:00"/>
    <x v="971"/>
    <x v="0"/>
    <n v="49"/>
    <x v="0"/>
    <x v="0"/>
    <n v="4"/>
    <x v="3"/>
    <x v="4"/>
  </r>
  <r>
    <n v="973"/>
    <d v="2023-03-22T00:00:00"/>
    <x v="972"/>
    <x v="0"/>
    <n v="60"/>
    <x v="0"/>
    <x v="1"/>
    <n v="1"/>
    <x v="0"/>
    <x v="5"/>
  </r>
  <r>
    <n v="974"/>
    <d v="2023-05-03T00:00:00"/>
    <x v="973"/>
    <x v="0"/>
    <n v="47"/>
    <x v="0"/>
    <x v="0"/>
    <n v="1"/>
    <x v="2"/>
    <x v="2"/>
  </r>
  <r>
    <n v="975"/>
    <d v="2023-03-30T00:00:00"/>
    <x v="974"/>
    <x v="1"/>
    <n v="56"/>
    <x v="0"/>
    <x v="1"/>
    <n v="4"/>
    <x v="0"/>
    <x v="7"/>
  </r>
  <r>
    <n v="976"/>
    <d v="2023-10-10T00:00:00"/>
    <x v="975"/>
    <x v="1"/>
    <n v="48"/>
    <x v="0"/>
    <x v="0"/>
    <n v="2"/>
    <x v="4"/>
    <x v="6"/>
  </r>
  <r>
    <n v="977"/>
    <d v="2023-02-08T00:00:00"/>
    <x v="976"/>
    <x v="1"/>
    <n v="35"/>
    <x v="0"/>
    <x v="2"/>
    <n v="3"/>
    <x v="3"/>
    <x v="8"/>
  </r>
  <r>
    <n v="978"/>
    <d v="2023-03-22T00:00:00"/>
    <x v="977"/>
    <x v="1"/>
    <n v="53"/>
    <x v="0"/>
    <x v="1"/>
    <n v="3"/>
    <x v="0"/>
    <x v="0"/>
  </r>
  <r>
    <n v="979"/>
    <d v="2023-01-02T00:00:00"/>
    <x v="978"/>
    <x v="1"/>
    <n v="19"/>
    <x v="1"/>
    <x v="0"/>
    <n v="1"/>
    <x v="3"/>
    <x v="16"/>
  </r>
  <r>
    <n v="980"/>
    <d v="2023-07-29T00:00:00"/>
    <x v="979"/>
    <x v="1"/>
    <n v="31"/>
    <x v="0"/>
    <x v="2"/>
    <n v="3"/>
    <x v="3"/>
    <x v="8"/>
  </r>
  <r>
    <n v="981"/>
    <d v="2023-08-19T00:00:00"/>
    <x v="980"/>
    <x v="1"/>
    <n v="30"/>
    <x v="0"/>
    <x v="2"/>
    <n v="2"/>
    <x v="2"/>
    <x v="17"/>
  </r>
  <r>
    <n v="982"/>
    <d v="2023-12-19T00:00:00"/>
    <x v="981"/>
    <x v="1"/>
    <n v="46"/>
    <x v="0"/>
    <x v="0"/>
    <n v="3"/>
    <x v="2"/>
    <x v="15"/>
  </r>
  <r>
    <n v="983"/>
    <d v="2023-11-01T00:00:00"/>
    <x v="982"/>
    <x v="1"/>
    <n v="29"/>
    <x v="0"/>
    <x v="1"/>
    <n v="1"/>
    <x v="4"/>
    <x v="13"/>
  </r>
  <r>
    <n v="984"/>
    <d v="2023-08-29T00:00:00"/>
    <x v="983"/>
    <x v="0"/>
    <n v="56"/>
    <x v="0"/>
    <x v="1"/>
    <n v="1"/>
    <x v="1"/>
    <x v="3"/>
  </r>
  <r>
    <n v="985"/>
    <d v="2023-05-30T00:00:00"/>
    <x v="984"/>
    <x v="1"/>
    <n v="19"/>
    <x v="1"/>
    <x v="2"/>
    <n v="2"/>
    <x v="3"/>
    <x v="5"/>
  </r>
  <r>
    <n v="986"/>
    <d v="2023-01-17T00:00:00"/>
    <x v="985"/>
    <x v="1"/>
    <n v="49"/>
    <x v="0"/>
    <x v="1"/>
    <n v="2"/>
    <x v="1"/>
    <x v="1"/>
  </r>
  <r>
    <n v="987"/>
    <d v="2023-04-29T00:00:00"/>
    <x v="986"/>
    <x v="1"/>
    <n v="30"/>
    <x v="0"/>
    <x v="1"/>
    <n v="3"/>
    <x v="4"/>
    <x v="12"/>
  </r>
  <r>
    <n v="988"/>
    <d v="2023-05-28T00:00:00"/>
    <x v="987"/>
    <x v="1"/>
    <n v="63"/>
    <x v="0"/>
    <x v="1"/>
    <n v="3"/>
    <x v="3"/>
    <x v="8"/>
  </r>
  <r>
    <n v="989"/>
    <d v="2023-12-28T00:00:00"/>
    <x v="988"/>
    <x v="1"/>
    <n v="44"/>
    <x v="0"/>
    <x v="2"/>
    <n v="1"/>
    <x v="3"/>
    <x v="16"/>
  </r>
  <r>
    <n v="990"/>
    <d v="2023-05-25T00:00:00"/>
    <x v="989"/>
    <x v="1"/>
    <n v="58"/>
    <x v="0"/>
    <x v="0"/>
    <n v="2"/>
    <x v="1"/>
    <x v="1"/>
  </r>
  <r>
    <n v="991"/>
    <d v="2023-12-26T00:00:00"/>
    <x v="990"/>
    <x v="1"/>
    <n v="34"/>
    <x v="0"/>
    <x v="1"/>
    <n v="2"/>
    <x v="0"/>
    <x v="4"/>
  </r>
  <r>
    <n v="992"/>
    <d v="2023-08-21T00:00:00"/>
    <x v="991"/>
    <x v="1"/>
    <n v="57"/>
    <x v="0"/>
    <x v="2"/>
    <n v="2"/>
    <x v="2"/>
    <x v="17"/>
  </r>
  <r>
    <n v="993"/>
    <d v="2023-02-06T00:00:00"/>
    <x v="992"/>
    <x v="1"/>
    <n v="48"/>
    <x v="0"/>
    <x v="2"/>
    <n v="3"/>
    <x v="0"/>
    <x v="0"/>
  </r>
  <r>
    <n v="994"/>
    <d v="2023-12-18T00:00:00"/>
    <x v="993"/>
    <x v="1"/>
    <n v="51"/>
    <x v="0"/>
    <x v="0"/>
    <n v="2"/>
    <x v="1"/>
    <x v="1"/>
  </r>
  <r>
    <n v="995"/>
    <d v="2023-04-30T00:00:00"/>
    <x v="994"/>
    <x v="1"/>
    <n v="41"/>
    <x v="0"/>
    <x v="1"/>
    <n v="1"/>
    <x v="2"/>
    <x v="2"/>
  </r>
  <r>
    <n v="996"/>
    <d v="2023-05-16T00:00:00"/>
    <x v="995"/>
    <x v="0"/>
    <n v="62"/>
    <x v="0"/>
    <x v="1"/>
    <n v="1"/>
    <x v="0"/>
    <x v="5"/>
  </r>
  <r>
    <n v="997"/>
    <d v="2023-11-17T00:00:00"/>
    <x v="996"/>
    <x v="0"/>
    <n v="52"/>
    <x v="0"/>
    <x v="0"/>
    <n v="3"/>
    <x v="2"/>
    <x v="15"/>
  </r>
  <r>
    <n v="998"/>
    <d v="2023-10-29T00:00:00"/>
    <x v="997"/>
    <x v="1"/>
    <n v="23"/>
    <x v="1"/>
    <x v="0"/>
    <n v="4"/>
    <x v="3"/>
    <x v="4"/>
  </r>
  <r>
    <n v="999"/>
    <d v="2023-12-05T00:00:00"/>
    <x v="998"/>
    <x v="1"/>
    <n v="36"/>
    <x v="0"/>
    <x v="2"/>
    <n v="3"/>
    <x v="0"/>
    <x v="0"/>
  </r>
  <r>
    <n v="1000"/>
    <d v="2023-04-12T00:00:00"/>
    <x v="999"/>
    <x v="0"/>
    <n v="47"/>
    <x v="0"/>
    <x v="2"/>
    <n v="4"/>
    <x v="2"/>
    <x v="1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3-11-24T00:00:00"/>
    <x v="0"/>
    <s v="Male"/>
    <n v="34"/>
    <x v="0"/>
    <x v="0"/>
    <n v="3"/>
    <n v="50"/>
    <n v="150"/>
  </r>
  <r>
    <n v="2"/>
    <d v="2023-02-27T00:00:00"/>
    <x v="1"/>
    <s v="Female"/>
    <n v="26"/>
    <x v="0"/>
    <x v="1"/>
    <n v="2"/>
    <n v="500"/>
    <n v="1000"/>
  </r>
  <r>
    <n v="3"/>
    <d v="2023-01-13T00:00:00"/>
    <x v="2"/>
    <s v="Male"/>
    <n v="50"/>
    <x v="1"/>
    <x v="2"/>
    <n v="1"/>
    <n v="30"/>
    <n v="30"/>
  </r>
  <r>
    <n v="4"/>
    <d v="2023-05-21T00:00:00"/>
    <x v="3"/>
    <s v="Male"/>
    <n v="37"/>
    <x v="0"/>
    <x v="1"/>
    <n v="1"/>
    <n v="500"/>
    <n v="500"/>
  </r>
  <r>
    <n v="5"/>
    <d v="2023-05-06T00:00:00"/>
    <x v="4"/>
    <s v="Male"/>
    <n v="30"/>
    <x v="0"/>
    <x v="0"/>
    <n v="2"/>
    <n v="50"/>
    <n v="100"/>
  </r>
  <r>
    <n v="6"/>
    <d v="2023-04-25T00:00:00"/>
    <x v="5"/>
    <s v="Female"/>
    <n v="45"/>
    <x v="1"/>
    <x v="0"/>
    <n v="1"/>
    <n v="30"/>
    <n v="30"/>
  </r>
  <r>
    <n v="7"/>
    <d v="2023-03-13T00:00:00"/>
    <x v="6"/>
    <s v="Male"/>
    <n v="46"/>
    <x v="1"/>
    <x v="1"/>
    <n v="2"/>
    <n v="25"/>
    <n v="50"/>
  </r>
  <r>
    <n v="8"/>
    <d v="2023-02-22T00:00:00"/>
    <x v="7"/>
    <s v="Male"/>
    <n v="30"/>
    <x v="0"/>
    <x v="2"/>
    <n v="4"/>
    <n v="25"/>
    <n v="100"/>
  </r>
  <r>
    <n v="9"/>
    <d v="2023-12-13T00:00:00"/>
    <x v="8"/>
    <s v="Male"/>
    <n v="63"/>
    <x v="1"/>
    <x v="2"/>
    <n v="2"/>
    <n v="300"/>
    <n v="600"/>
  </r>
  <r>
    <n v="10"/>
    <d v="2023-10-07T00:00:00"/>
    <x v="9"/>
    <s v="Female"/>
    <n v="52"/>
    <x v="1"/>
    <x v="1"/>
    <n v="4"/>
    <n v="50"/>
    <n v="200"/>
  </r>
  <r>
    <n v="11"/>
    <d v="2023-02-14T00:00:00"/>
    <x v="10"/>
    <s v="Male"/>
    <n v="23"/>
    <x v="2"/>
    <x v="1"/>
    <n v="2"/>
    <n v="50"/>
    <n v="100"/>
  </r>
  <r>
    <n v="12"/>
    <d v="2023-10-30T00:00:00"/>
    <x v="11"/>
    <s v="Male"/>
    <n v="35"/>
    <x v="0"/>
    <x v="0"/>
    <n v="3"/>
    <n v="25"/>
    <n v="75"/>
  </r>
  <r>
    <n v="13"/>
    <d v="2023-08-05T00:00:00"/>
    <x v="12"/>
    <s v="Male"/>
    <n v="22"/>
    <x v="2"/>
    <x v="2"/>
    <n v="3"/>
    <n v="500"/>
    <n v="1500"/>
  </r>
  <r>
    <n v="14"/>
    <d v="2023-01-17T00:00:00"/>
    <x v="13"/>
    <s v="Male"/>
    <n v="64"/>
    <x v="1"/>
    <x v="1"/>
    <n v="4"/>
    <n v="30"/>
    <n v="120"/>
  </r>
  <r>
    <n v="15"/>
    <d v="2023-01-16T00:00:00"/>
    <x v="14"/>
    <s v="Female"/>
    <n v="42"/>
    <x v="1"/>
    <x v="2"/>
    <n v="4"/>
    <n v="500"/>
    <n v="2000"/>
  </r>
  <r>
    <n v="16"/>
    <d v="2023-02-17T00:00:00"/>
    <x v="15"/>
    <s v="Male"/>
    <n v="19"/>
    <x v="2"/>
    <x v="1"/>
    <n v="3"/>
    <n v="500"/>
    <n v="1500"/>
  </r>
  <r>
    <n v="17"/>
    <d v="2023-04-22T00:00:00"/>
    <x v="16"/>
    <s v="Female"/>
    <n v="27"/>
    <x v="0"/>
    <x v="1"/>
    <n v="4"/>
    <n v="25"/>
    <n v="100"/>
  </r>
  <r>
    <n v="18"/>
    <d v="2023-04-30T00:00:00"/>
    <x v="17"/>
    <s v="Female"/>
    <n v="47"/>
    <x v="1"/>
    <x v="2"/>
    <n v="2"/>
    <n v="25"/>
    <n v="50"/>
  </r>
  <r>
    <n v="19"/>
    <d v="2023-09-16T00:00:00"/>
    <x v="18"/>
    <s v="Female"/>
    <n v="62"/>
    <x v="1"/>
    <x v="1"/>
    <n v="2"/>
    <n v="25"/>
    <n v="50"/>
  </r>
  <r>
    <n v="20"/>
    <d v="2023-11-05T00:00:00"/>
    <x v="19"/>
    <s v="Male"/>
    <n v="22"/>
    <x v="2"/>
    <x v="1"/>
    <n v="3"/>
    <n v="300"/>
    <n v="900"/>
  </r>
  <r>
    <n v="21"/>
    <d v="2023-01-14T00:00:00"/>
    <x v="20"/>
    <s v="Female"/>
    <n v="50"/>
    <x v="1"/>
    <x v="0"/>
    <n v="1"/>
    <n v="500"/>
    <n v="500"/>
  </r>
  <r>
    <n v="22"/>
    <d v="2023-10-15T00:00:00"/>
    <x v="21"/>
    <s v="Male"/>
    <n v="18"/>
    <x v="2"/>
    <x v="1"/>
    <n v="2"/>
    <n v="50"/>
    <n v="100"/>
  </r>
  <r>
    <n v="23"/>
    <d v="2023-04-12T00:00:00"/>
    <x v="22"/>
    <s v="Female"/>
    <n v="35"/>
    <x v="0"/>
    <x v="1"/>
    <n v="4"/>
    <n v="30"/>
    <n v="120"/>
  </r>
  <r>
    <n v="24"/>
    <d v="2023-11-29T00:00:00"/>
    <x v="23"/>
    <s v="Female"/>
    <n v="49"/>
    <x v="1"/>
    <x v="1"/>
    <n v="1"/>
    <n v="300"/>
    <n v="300"/>
  </r>
  <r>
    <n v="25"/>
    <d v="2023-12-26T00:00:00"/>
    <x v="24"/>
    <s v="Female"/>
    <n v="64"/>
    <x v="1"/>
    <x v="0"/>
    <n v="1"/>
    <n v="50"/>
    <n v="50"/>
  </r>
  <r>
    <n v="26"/>
    <d v="2023-10-07T00:00:00"/>
    <x v="25"/>
    <s v="Female"/>
    <n v="28"/>
    <x v="0"/>
    <x v="2"/>
    <n v="2"/>
    <n v="500"/>
    <n v="1000"/>
  </r>
  <r>
    <n v="27"/>
    <d v="2023-08-03T00:00:00"/>
    <x v="26"/>
    <s v="Female"/>
    <n v="38"/>
    <x v="0"/>
    <x v="0"/>
    <n v="2"/>
    <n v="25"/>
    <n v="50"/>
  </r>
  <r>
    <n v="28"/>
    <d v="2023-04-23T00:00:00"/>
    <x v="27"/>
    <s v="Female"/>
    <n v="43"/>
    <x v="1"/>
    <x v="0"/>
    <n v="1"/>
    <n v="500"/>
    <n v="500"/>
  </r>
  <r>
    <n v="29"/>
    <d v="2023-08-18T00:00:00"/>
    <x v="28"/>
    <s v="Female"/>
    <n v="42"/>
    <x v="1"/>
    <x v="2"/>
    <n v="1"/>
    <n v="30"/>
    <n v="30"/>
  </r>
  <r>
    <n v="30"/>
    <d v="2023-10-29T00:00:00"/>
    <x v="29"/>
    <s v="Female"/>
    <n v="39"/>
    <x v="0"/>
    <x v="0"/>
    <n v="3"/>
    <n v="300"/>
    <n v="900"/>
  </r>
  <r>
    <n v="31"/>
    <d v="2023-05-23T00:00:00"/>
    <x v="30"/>
    <s v="Male"/>
    <n v="44"/>
    <x v="1"/>
    <x v="2"/>
    <n v="4"/>
    <n v="300"/>
    <n v="1200"/>
  </r>
  <r>
    <n v="32"/>
    <d v="2023-01-04T00:00:00"/>
    <x v="31"/>
    <s v="Male"/>
    <n v="30"/>
    <x v="0"/>
    <x v="0"/>
    <n v="3"/>
    <n v="30"/>
    <n v="90"/>
  </r>
  <r>
    <n v="33"/>
    <d v="2023-03-23T00:00:00"/>
    <x v="32"/>
    <s v="Female"/>
    <n v="50"/>
    <x v="1"/>
    <x v="2"/>
    <n v="2"/>
    <n v="50"/>
    <n v="100"/>
  </r>
  <r>
    <n v="34"/>
    <d v="2023-12-24T00:00:00"/>
    <x v="33"/>
    <s v="Female"/>
    <n v="51"/>
    <x v="1"/>
    <x v="1"/>
    <n v="3"/>
    <n v="50"/>
    <n v="150"/>
  </r>
  <r>
    <n v="35"/>
    <d v="2023-08-05T00:00:00"/>
    <x v="34"/>
    <s v="Female"/>
    <n v="58"/>
    <x v="1"/>
    <x v="0"/>
    <n v="3"/>
    <n v="300"/>
    <n v="900"/>
  </r>
  <r>
    <n v="36"/>
    <d v="2023-06-24T00:00:00"/>
    <x v="35"/>
    <s v="Male"/>
    <n v="52"/>
    <x v="1"/>
    <x v="0"/>
    <n v="3"/>
    <n v="300"/>
    <n v="900"/>
  </r>
  <r>
    <n v="37"/>
    <d v="2023-05-23T00:00:00"/>
    <x v="36"/>
    <s v="Female"/>
    <n v="18"/>
    <x v="2"/>
    <x v="0"/>
    <n v="3"/>
    <n v="25"/>
    <n v="75"/>
  </r>
  <r>
    <n v="38"/>
    <d v="2023-03-21T00:00:00"/>
    <x v="37"/>
    <s v="Male"/>
    <n v="38"/>
    <x v="0"/>
    <x v="0"/>
    <n v="4"/>
    <n v="50"/>
    <n v="200"/>
  </r>
  <r>
    <n v="39"/>
    <d v="2023-04-21T00:00:00"/>
    <x v="38"/>
    <s v="Male"/>
    <n v="23"/>
    <x v="2"/>
    <x v="1"/>
    <n v="4"/>
    <n v="30"/>
    <n v="120"/>
  </r>
  <r>
    <n v="40"/>
    <d v="2023-06-22T00:00:00"/>
    <x v="39"/>
    <s v="Male"/>
    <n v="45"/>
    <x v="1"/>
    <x v="0"/>
    <n v="1"/>
    <n v="50"/>
    <n v="50"/>
  </r>
  <r>
    <n v="41"/>
    <d v="2023-02-22T00:00:00"/>
    <x v="40"/>
    <s v="Male"/>
    <n v="34"/>
    <x v="0"/>
    <x v="1"/>
    <n v="2"/>
    <n v="25"/>
    <n v="50"/>
  </r>
  <r>
    <n v="42"/>
    <d v="2023-02-17T00:00:00"/>
    <x v="41"/>
    <s v="Male"/>
    <n v="22"/>
    <x v="2"/>
    <x v="1"/>
    <n v="3"/>
    <n v="300"/>
    <n v="900"/>
  </r>
  <r>
    <n v="43"/>
    <d v="2023-07-14T00:00:00"/>
    <x v="42"/>
    <s v="Female"/>
    <n v="48"/>
    <x v="1"/>
    <x v="1"/>
    <n v="1"/>
    <n v="300"/>
    <n v="300"/>
  </r>
  <r>
    <n v="44"/>
    <d v="2023-02-19T00:00:00"/>
    <x v="43"/>
    <s v="Female"/>
    <n v="22"/>
    <x v="2"/>
    <x v="1"/>
    <n v="1"/>
    <n v="25"/>
    <n v="25"/>
  </r>
  <r>
    <n v="45"/>
    <d v="2023-07-03T00:00:00"/>
    <x v="44"/>
    <s v="Female"/>
    <n v="55"/>
    <x v="1"/>
    <x v="2"/>
    <n v="1"/>
    <n v="30"/>
    <n v="30"/>
  </r>
  <r>
    <n v="46"/>
    <d v="2023-06-26T00:00:00"/>
    <x v="45"/>
    <s v="Female"/>
    <n v="20"/>
    <x v="2"/>
    <x v="2"/>
    <n v="4"/>
    <n v="300"/>
    <n v="1200"/>
  </r>
  <r>
    <n v="47"/>
    <d v="2023-11-06T00:00:00"/>
    <x v="46"/>
    <s v="Female"/>
    <n v="40"/>
    <x v="0"/>
    <x v="0"/>
    <n v="3"/>
    <n v="500"/>
    <n v="1500"/>
  </r>
  <r>
    <n v="48"/>
    <d v="2023-05-16T00:00:00"/>
    <x v="47"/>
    <s v="Male"/>
    <n v="54"/>
    <x v="1"/>
    <x v="2"/>
    <n v="3"/>
    <n v="300"/>
    <n v="900"/>
  </r>
  <r>
    <n v="49"/>
    <d v="2023-01-23T00:00:00"/>
    <x v="48"/>
    <s v="Female"/>
    <n v="54"/>
    <x v="1"/>
    <x v="2"/>
    <n v="2"/>
    <n v="500"/>
    <n v="1000"/>
  </r>
  <r>
    <n v="50"/>
    <d v="2023-08-24T00:00:00"/>
    <x v="49"/>
    <s v="Female"/>
    <n v="27"/>
    <x v="0"/>
    <x v="0"/>
    <n v="3"/>
    <n v="25"/>
    <n v="75"/>
  </r>
  <r>
    <n v="51"/>
    <d v="2023-10-02T00:00:00"/>
    <x v="50"/>
    <s v="Male"/>
    <n v="27"/>
    <x v="0"/>
    <x v="0"/>
    <n v="3"/>
    <n v="25"/>
    <n v="75"/>
  </r>
  <r>
    <n v="52"/>
    <d v="2023-03-05T00:00:00"/>
    <x v="51"/>
    <s v="Female"/>
    <n v="36"/>
    <x v="0"/>
    <x v="0"/>
    <n v="1"/>
    <n v="300"/>
    <n v="300"/>
  </r>
  <r>
    <n v="53"/>
    <d v="2023-07-13T00:00:00"/>
    <x v="52"/>
    <s v="Male"/>
    <n v="34"/>
    <x v="0"/>
    <x v="2"/>
    <n v="2"/>
    <n v="50"/>
    <n v="100"/>
  </r>
  <r>
    <n v="54"/>
    <d v="2023-02-10T00:00:00"/>
    <x v="53"/>
    <s v="Female"/>
    <n v="38"/>
    <x v="0"/>
    <x v="2"/>
    <n v="3"/>
    <n v="500"/>
    <n v="1500"/>
  </r>
  <r>
    <n v="55"/>
    <d v="2023-10-10T00:00:00"/>
    <x v="54"/>
    <s v="Male"/>
    <n v="31"/>
    <x v="0"/>
    <x v="0"/>
    <n v="4"/>
    <n v="30"/>
    <n v="120"/>
  </r>
  <r>
    <n v="56"/>
    <d v="2023-05-31T00:00:00"/>
    <x v="55"/>
    <s v="Female"/>
    <n v="26"/>
    <x v="0"/>
    <x v="1"/>
    <n v="3"/>
    <n v="300"/>
    <n v="900"/>
  </r>
  <r>
    <n v="57"/>
    <d v="2023-11-18T00:00:00"/>
    <x v="56"/>
    <s v="Female"/>
    <n v="63"/>
    <x v="1"/>
    <x v="0"/>
    <n v="1"/>
    <n v="30"/>
    <n v="30"/>
  </r>
  <r>
    <n v="58"/>
    <d v="2023-11-13T00:00:00"/>
    <x v="57"/>
    <s v="Male"/>
    <n v="18"/>
    <x v="2"/>
    <x v="1"/>
    <n v="4"/>
    <n v="300"/>
    <n v="1200"/>
  </r>
  <r>
    <n v="59"/>
    <d v="2023-07-05T00:00:00"/>
    <x v="58"/>
    <s v="Male"/>
    <n v="62"/>
    <x v="1"/>
    <x v="1"/>
    <n v="1"/>
    <n v="50"/>
    <n v="50"/>
  </r>
  <r>
    <n v="60"/>
    <d v="2023-10-23T00:00:00"/>
    <x v="59"/>
    <s v="Male"/>
    <n v="30"/>
    <x v="0"/>
    <x v="0"/>
    <n v="3"/>
    <n v="50"/>
    <n v="150"/>
  </r>
  <r>
    <n v="61"/>
    <d v="2023-04-09T00:00:00"/>
    <x v="60"/>
    <s v="Male"/>
    <n v="21"/>
    <x v="2"/>
    <x v="0"/>
    <n v="4"/>
    <n v="50"/>
    <n v="200"/>
  </r>
  <r>
    <n v="62"/>
    <d v="2023-12-27T00:00:00"/>
    <x v="61"/>
    <s v="Male"/>
    <n v="18"/>
    <x v="2"/>
    <x v="0"/>
    <n v="2"/>
    <n v="50"/>
    <n v="100"/>
  </r>
  <r>
    <n v="63"/>
    <d v="2023-02-05T00:00:00"/>
    <x v="62"/>
    <s v="Male"/>
    <n v="57"/>
    <x v="1"/>
    <x v="2"/>
    <n v="2"/>
    <n v="25"/>
    <n v="50"/>
  </r>
  <r>
    <n v="64"/>
    <d v="2023-01-24T00:00:00"/>
    <x v="63"/>
    <s v="Male"/>
    <n v="49"/>
    <x v="1"/>
    <x v="1"/>
    <n v="4"/>
    <n v="25"/>
    <n v="100"/>
  </r>
  <r>
    <n v="65"/>
    <d v="2023-12-05T00:00:00"/>
    <x v="64"/>
    <s v="Male"/>
    <n v="51"/>
    <x v="1"/>
    <x v="2"/>
    <n v="4"/>
    <n v="500"/>
    <n v="2000"/>
  </r>
  <r>
    <n v="66"/>
    <d v="2023-04-27T00:00:00"/>
    <x v="65"/>
    <s v="Female"/>
    <n v="45"/>
    <x v="1"/>
    <x v="2"/>
    <n v="1"/>
    <n v="30"/>
    <n v="30"/>
  </r>
  <r>
    <n v="67"/>
    <d v="2023-05-29T00:00:00"/>
    <x v="66"/>
    <s v="Female"/>
    <n v="48"/>
    <x v="1"/>
    <x v="0"/>
    <n v="4"/>
    <n v="300"/>
    <n v="1200"/>
  </r>
  <r>
    <n v="68"/>
    <d v="2023-02-10T00:00:00"/>
    <x v="67"/>
    <s v="Male"/>
    <n v="25"/>
    <x v="0"/>
    <x v="2"/>
    <n v="1"/>
    <n v="300"/>
    <n v="300"/>
  </r>
  <r>
    <n v="69"/>
    <d v="2023-04-30T00:00:00"/>
    <x v="68"/>
    <s v="Female"/>
    <n v="56"/>
    <x v="1"/>
    <x v="0"/>
    <n v="3"/>
    <n v="25"/>
    <n v="75"/>
  </r>
  <r>
    <n v="70"/>
    <d v="2023-02-21T00:00:00"/>
    <x v="69"/>
    <s v="Female"/>
    <n v="43"/>
    <x v="1"/>
    <x v="1"/>
    <n v="1"/>
    <n v="300"/>
    <n v="300"/>
  </r>
  <r>
    <n v="71"/>
    <d v="2023-07-14T00:00:00"/>
    <x v="70"/>
    <s v="Female"/>
    <n v="51"/>
    <x v="1"/>
    <x v="0"/>
    <n v="4"/>
    <n v="25"/>
    <n v="100"/>
  </r>
  <r>
    <n v="72"/>
    <d v="2023-05-23T00:00:00"/>
    <x v="71"/>
    <s v="Female"/>
    <n v="20"/>
    <x v="2"/>
    <x v="2"/>
    <n v="4"/>
    <n v="500"/>
    <n v="2000"/>
  </r>
  <r>
    <n v="73"/>
    <d v="2023-08-21T00:00:00"/>
    <x v="72"/>
    <s v="Male"/>
    <n v="29"/>
    <x v="0"/>
    <x v="2"/>
    <n v="3"/>
    <n v="30"/>
    <n v="90"/>
  </r>
  <r>
    <n v="74"/>
    <d v="2023-11-22T00:00:00"/>
    <x v="73"/>
    <s v="Female"/>
    <n v="18"/>
    <x v="2"/>
    <x v="0"/>
    <n v="4"/>
    <n v="500"/>
    <n v="2000"/>
  </r>
  <r>
    <n v="75"/>
    <d v="2023-07-06T00:00:00"/>
    <x v="74"/>
    <s v="Male"/>
    <n v="61"/>
    <x v="1"/>
    <x v="0"/>
    <n v="4"/>
    <n v="50"/>
    <n v="200"/>
  </r>
  <r>
    <n v="76"/>
    <d v="2023-03-25T00:00:00"/>
    <x v="75"/>
    <s v="Female"/>
    <n v="22"/>
    <x v="2"/>
    <x v="2"/>
    <n v="2"/>
    <n v="50"/>
    <n v="100"/>
  </r>
  <r>
    <n v="77"/>
    <d v="2023-07-09T00:00:00"/>
    <x v="76"/>
    <s v="Female"/>
    <n v="47"/>
    <x v="1"/>
    <x v="1"/>
    <n v="2"/>
    <n v="50"/>
    <n v="100"/>
  </r>
  <r>
    <n v="78"/>
    <d v="2023-07-01T00:00:00"/>
    <x v="77"/>
    <s v="Female"/>
    <n v="47"/>
    <x v="1"/>
    <x v="1"/>
    <n v="3"/>
    <n v="500"/>
    <n v="1500"/>
  </r>
  <r>
    <n v="79"/>
    <d v="2023-04-18T00:00:00"/>
    <x v="78"/>
    <s v="Male"/>
    <n v="34"/>
    <x v="0"/>
    <x v="0"/>
    <n v="1"/>
    <n v="300"/>
    <n v="300"/>
  </r>
  <r>
    <n v="80"/>
    <d v="2023-12-10T00:00:00"/>
    <x v="79"/>
    <s v="Female"/>
    <n v="64"/>
    <x v="1"/>
    <x v="1"/>
    <n v="2"/>
    <n v="30"/>
    <n v="60"/>
  </r>
  <r>
    <n v="81"/>
    <d v="2023-05-17T00:00:00"/>
    <x v="80"/>
    <s v="Male"/>
    <n v="40"/>
    <x v="0"/>
    <x v="2"/>
    <n v="1"/>
    <n v="50"/>
    <n v="50"/>
  </r>
  <r>
    <n v="82"/>
    <d v="2023-12-26T00:00:00"/>
    <x v="81"/>
    <s v="Female"/>
    <n v="32"/>
    <x v="0"/>
    <x v="0"/>
    <n v="4"/>
    <n v="50"/>
    <n v="200"/>
  </r>
  <r>
    <n v="83"/>
    <d v="2023-12-16T00:00:00"/>
    <x v="82"/>
    <s v="Male"/>
    <n v="54"/>
    <x v="1"/>
    <x v="2"/>
    <n v="2"/>
    <n v="50"/>
    <n v="100"/>
  </r>
  <r>
    <n v="84"/>
    <d v="2023-11-28T00:00:00"/>
    <x v="83"/>
    <s v="Female"/>
    <n v="38"/>
    <x v="0"/>
    <x v="2"/>
    <n v="3"/>
    <n v="30"/>
    <n v="90"/>
  </r>
  <r>
    <n v="85"/>
    <d v="2023-02-06T00:00:00"/>
    <x v="84"/>
    <s v="Male"/>
    <n v="31"/>
    <x v="0"/>
    <x v="1"/>
    <n v="3"/>
    <n v="50"/>
    <n v="150"/>
  </r>
  <r>
    <n v="86"/>
    <d v="2023-11-08T00:00:00"/>
    <x v="85"/>
    <s v="Male"/>
    <n v="19"/>
    <x v="2"/>
    <x v="0"/>
    <n v="3"/>
    <n v="30"/>
    <n v="90"/>
  </r>
  <r>
    <n v="87"/>
    <d v="2023-11-22T00:00:00"/>
    <x v="86"/>
    <s v="Female"/>
    <n v="28"/>
    <x v="0"/>
    <x v="0"/>
    <n v="2"/>
    <n v="50"/>
    <n v="100"/>
  </r>
  <r>
    <n v="88"/>
    <d v="2023-03-29T00:00:00"/>
    <x v="87"/>
    <s v="Male"/>
    <n v="56"/>
    <x v="1"/>
    <x v="1"/>
    <n v="1"/>
    <n v="500"/>
    <n v="500"/>
  </r>
  <r>
    <n v="89"/>
    <d v="2023-10-01T00:00:00"/>
    <x v="88"/>
    <s v="Female"/>
    <n v="55"/>
    <x v="1"/>
    <x v="2"/>
    <n v="4"/>
    <n v="500"/>
    <n v="2000"/>
  </r>
  <r>
    <n v="90"/>
    <d v="2023-05-06T00:00:00"/>
    <x v="89"/>
    <s v="Female"/>
    <n v="51"/>
    <x v="1"/>
    <x v="2"/>
    <n v="1"/>
    <n v="30"/>
    <n v="30"/>
  </r>
  <r>
    <n v="91"/>
    <d v="2023-03-25T00:00:00"/>
    <x v="90"/>
    <s v="Female"/>
    <n v="55"/>
    <x v="1"/>
    <x v="2"/>
    <n v="1"/>
    <n v="500"/>
    <n v="500"/>
  </r>
  <r>
    <n v="92"/>
    <d v="2023-08-25T00:00:00"/>
    <x v="91"/>
    <s v="Female"/>
    <n v="51"/>
    <x v="1"/>
    <x v="2"/>
    <n v="4"/>
    <n v="30"/>
    <n v="120"/>
  </r>
  <r>
    <n v="93"/>
    <d v="2023-07-14T00:00:00"/>
    <x v="92"/>
    <s v="Female"/>
    <n v="35"/>
    <x v="0"/>
    <x v="0"/>
    <n v="4"/>
    <n v="500"/>
    <n v="2000"/>
  </r>
  <r>
    <n v="94"/>
    <d v="2023-05-19T00:00:00"/>
    <x v="93"/>
    <s v="Female"/>
    <n v="47"/>
    <x v="1"/>
    <x v="0"/>
    <n v="2"/>
    <n v="500"/>
    <n v="1000"/>
  </r>
  <r>
    <n v="95"/>
    <d v="2023-11-24T00:00:00"/>
    <x v="94"/>
    <s v="Female"/>
    <n v="32"/>
    <x v="0"/>
    <x v="1"/>
    <n v="2"/>
    <n v="30"/>
    <n v="60"/>
  </r>
  <r>
    <n v="96"/>
    <d v="2023-12-19T00:00:00"/>
    <x v="95"/>
    <s v="Female"/>
    <n v="44"/>
    <x v="1"/>
    <x v="1"/>
    <n v="2"/>
    <n v="300"/>
    <n v="600"/>
  </r>
  <r>
    <n v="97"/>
    <d v="2023-10-13T00:00:00"/>
    <x v="96"/>
    <s v="Female"/>
    <n v="51"/>
    <x v="1"/>
    <x v="0"/>
    <n v="2"/>
    <n v="500"/>
    <n v="1000"/>
  </r>
  <r>
    <n v="98"/>
    <d v="2023-04-23T00:00:00"/>
    <x v="97"/>
    <s v="Female"/>
    <n v="55"/>
    <x v="1"/>
    <x v="0"/>
    <n v="2"/>
    <n v="50"/>
    <n v="100"/>
  </r>
  <r>
    <n v="99"/>
    <d v="2023-12-17T00:00:00"/>
    <x v="98"/>
    <s v="Female"/>
    <n v="50"/>
    <x v="1"/>
    <x v="2"/>
    <n v="4"/>
    <n v="300"/>
    <n v="1200"/>
  </r>
  <r>
    <n v="100"/>
    <d v="2023-06-16T00:00:00"/>
    <x v="99"/>
    <s v="Male"/>
    <n v="41"/>
    <x v="1"/>
    <x v="2"/>
    <n v="1"/>
    <n v="30"/>
    <n v="30"/>
  </r>
  <r>
    <n v="101"/>
    <d v="2023-01-29T00:00:00"/>
    <x v="100"/>
    <s v="Male"/>
    <n v="32"/>
    <x v="0"/>
    <x v="1"/>
    <n v="2"/>
    <n v="300"/>
    <n v="600"/>
  </r>
  <r>
    <n v="102"/>
    <d v="2023-04-28T00:00:00"/>
    <x v="101"/>
    <s v="Female"/>
    <n v="47"/>
    <x v="1"/>
    <x v="0"/>
    <n v="2"/>
    <n v="25"/>
    <n v="50"/>
  </r>
  <r>
    <n v="103"/>
    <d v="2023-01-17T00:00:00"/>
    <x v="102"/>
    <s v="Female"/>
    <n v="59"/>
    <x v="1"/>
    <x v="1"/>
    <n v="1"/>
    <n v="25"/>
    <n v="25"/>
  </r>
  <r>
    <n v="104"/>
    <d v="2023-06-11T00:00:00"/>
    <x v="103"/>
    <s v="Female"/>
    <n v="34"/>
    <x v="0"/>
    <x v="0"/>
    <n v="2"/>
    <n v="500"/>
    <n v="1000"/>
  </r>
  <r>
    <n v="105"/>
    <d v="2023-07-25T00:00:00"/>
    <x v="104"/>
    <s v="Female"/>
    <n v="22"/>
    <x v="2"/>
    <x v="2"/>
    <n v="1"/>
    <n v="500"/>
    <n v="500"/>
  </r>
  <r>
    <n v="106"/>
    <d v="2023-05-18T00:00:00"/>
    <x v="105"/>
    <s v="Female"/>
    <n v="46"/>
    <x v="1"/>
    <x v="1"/>
    <n v="1"/>
    <n v="50"/>
    <n v="50"/>
  </r>
  <r>
    <n v="107"/>
    <d v="2023-02-03T00:00:00"/>
    <x v="106"/>
    <s v="Female"/>
    <n v="21"/>
    <x v="2"/>
    <x v="1"/>
    <n v="4"/>
    <n v="300"/>
    <n v="1200"/>
  </r>
  <r>
    <n v="108"/>
    <d v="2023-04-19T00:00:00"/>
    <x v="107"/>
    <s v="Female"/>
    <n v="27"/>
    <x v="0"/>
    <x v="0"/>
    <n v="3"/>
    <n v="25"/>
    <n v="75"/>
  </r>
  <r>
    <n v="109"/>
    <d v="2023-10-18T00:00:00"/>
    <x v="108"/>
    <s v="Female"/>
    <n v="34"/>
    <x v="0"/>
    <x v="2"/>
    <n v="4"/>
    <n v="500"/>
    <n v="2000"/>
  </r>
  <r>
    <n v="110"/>
    <d v="2023-06-11T00:00:00"/>
    <x v="109"/>
    <s v="Male"/>
    <n v="27"/>
    <x v="0"/>
    <x v="1"/>
    <n v="3"/>
    <n v="300"/>
    <n v="900"/>
  </r>
  <r>
    <n v="111"/>
    <d v="2023-04-19T00:00:00"/>
    <x v="110"/>
    <s v="Female"/>
    <n v="34"/>
    <x v="0"/>
    <x v="2"/>
    <n v="3"/>
    <n v="500"/>
    <n v="1500"/>
  </r>
  <r>
    <n v="112"/>
    <d v="2023-12-02T00:00:00"/>
    <x v="111"/>
    <s v="Male"/>
    <n v="37"/>
    <x v="0"/>
    <x v="1"/>
    <n v="3"/>
    <n v="500"/>
    <n v="1500"/>
  </r>
  <r>
    <n v="113"/>
    <d v="2023-09-13T00:00:00"/>
    <x v="112"/>
    <s v="Female"/>
    <n v="41"/>
    <x v="1"/>
    <x v="2"/>
    <n v="2"/>
    <n v="25"/>
    <n v="50"/>
  </r>
  <r>
    <n v="114"/>
    <d v="2023-07-22T00:00:00"/>
    <x v="113"/>
    <s v="Female"/>
    <n v="22"/>
    <x v="2"/>
    <x v="0"/>
    <n v="4"/>
    <n v="25"/>
    <n v="100"/>
  </r>
  <r>
    <n v="115"/>
    <d v="2023-11-26T00:00:00"/>
    <x v="114"/>
    <s v="Male"/>
    <n v="51"/>
    <x v="1"/>
    <x v="1"/>
    <n v="3"/>
    <n v="500"/>
    <n v="1500"/>
  </r>
  <r>
    <n v="116"/>
    <d v="2023-08-23T00:00:00"/>
    <x v="115"/>
    <s v="Female"/>
    <n v="23"/>
    <x v="2"/>
    <x v="1"/>
    <n v="1"/>
    <n v="30"/>
    <n v="30"/>
  </r>
  <r>
    <n v="117"/>
    <d v="2023-03-15T00:00:00"/>
    <x v="116"/>
    <s v="Male"/>
    <n v="19"/>
    <x v="2"/>
    <x v="2"/>
    <n v="2"/>
    <n v="500"/>
    <n v="1000"/>
  </r>
  <r>
    <n v="118"/>
    <d v="2023-05-16T00:00:00"/>
    <x v="117"/>
    <s v="Female"/>
    <n v="30"/>
    <x v="0"/>
    <x v="2"/>
    <n v="4"/>
    <n v="500"/>
    <n v="2000"/>
  </r>
  <r>
    <n v="119"/>
    <d v="2023-03-13T00:00:00"/>
    <x v="118"/>
    <s v="Female"/>
    <n v="60"/>
    <x v="1"/>
    <x v="1"/>
    <n v="3"/>
    <n v="50"/>
    <n v="150"/>
  </r>
  <r>
    <n v="120"/>
    <d v="2023-05-07T00:00:00"/>
    <x v="119"/>
    <s v="Male"/>
    <n v="60"/>
    <x v="1"/>
    <x v="0"/>
    <n v="1"/>
    <n v="50"/>
    <n v="50"/>
  </r>
  <r>
    <n v="121"/>
    <d v="2023-10-15T00:00:00"/>
    <x v="120"/>
    <s v="Female"/>
    <n v="28"/>
    <x v="0"/>
    <x v="2"/>
    <n v="4"/>
    <n v="50"/>
    <n v="200"/>
  </r>
  <r>
    <n v="122"/>
    <d v="2023-10-03T00:00:00"/>
    <x v="121"/>
    <s v="Male"/>
    <n v="64"/>
    <x v="1"/>
    <x v="2"/>
    <n v="4"/>
    <n v="30"/>
    <n v="120"/>
  </r>
  <r>
    <n v="123"/>
    <d v="2023-05-15T00:00:00"/>
    <x v="122"/>
    <s v="Female"/>
    <n v="40"/>
    <x v="0"/>
    <x v="2"/>
    <n v="2"/>
    <n v="30"/>
    <n v="60"/>
  </r>
  <r>
    <n v="124"/>
    <d v="2023-10-27T00:00:00"/>
    <x v="123"/>
    <s v="Male"/>
    <n v="33"/>
    <x v="0"/>
    <x v="1"/>
    <n v="4"/>
    <n v="500"/>
    <n v="2000"/>
  </r>
  <r>
    <n v="125"/>
    <d v="2023-08-08T00:00:00"/>
    <x v="124"/>
    <s v="Male"/>
    <n v="48"/>
    <x v="1"/>
    <x v="1"/>
    <n v="2"/>
    <n v="50"/>
    <n v="100"/>
  </r>
  <r>
    <n v="126"/>
    <d v="2023-10-26T00:00:00"/>
    <x v="125"/>
    <s v="Female"/>
    <n v="28"/>
    <x v="0"/>
    <x v="1"/>
    <n v="3"/>
    <n v="30"/>
    <n v="90"/>
  </r>
  <r>
    <n v="127"/>
    <d v="2023-07-24T00:00:00"/>
    <x v="126"/>
    <s v="Female"/>
    <n v="33"/>
    <x v="0"/>
    <x v="1"/>
    <n v="2"/>
    <n v="25"/>
    <n v="50"/>
  </r>
  <r>
    <n v="128"/>
    <d v="2023-07-05T00:00:00"/>
    <x v="127"/>
    <s v="Male"/>
    <n v="25"/>
    <x v="0"/>
    <x v="0"/>
    <n v="1"/>
    <n v="500"/>
    <n v="500"/>
  </r>
  <r>
    <n v="129"/>
    <d v="2023-04-23T00:00:00"/>
    <x v="128"/>
    <s v="Female"/>
    <n v="21"/>
    <x v="2"/>
    <x v="0"/>
    <n v="2"/>
    <n v="300"/>
    <n v="600"/>
  </r>
  <r>
    <n v="130"/>
    <d v="2023-03-12T00:00:00"/>
    <x v="129"/>
    <s v="Female"/>
    <n v="57"/>
    <x v="1"/>
    <x v="1"/>
    <n v="1"/>
    <n v="500"/>
    <n v="500"/>
  </r>
  <r>
    <n v="131"/>
    <d v="2023-09-18T00:00:00"/>
    <x v="130"/>
    <s v="Female"/>
    <n v="21"/>
    <x v="2"/>
    <x v="0"/>
    <n v="2"/>
    <n v="300"/>
    <n v="600"/>
  </r>
  <r>
    <n v="132"/>
    <d v="2023-09-10T00:00:00"/>
    <x v="131"/>
    <s v="Male"/>
    <n v="42"/>
    <x v="1"/>
    <x v="2"/>
    <n v="4"/>
    <n v="50"/>
    <n v="200"/>
  </r>
  <r>
    <n v="133"/>
    <d v="2023-02-16T00:00:00"/>
    <x v="132"/>
    <s v="Male"/>
    <n v="20"/>
    <x v="2"/>
    <x v="2"/>
    <n v="3"/>
    <n v="300"/>
    <n v="900"/>
  </r>
  <r>
    <n v="134"/>
    <d v="2023-01-25T00:00:00"/>
    <x v="133"/>
    <s v="Male"/>
    <n v="49"/>
    <x v="1"/>
    <x v="2"/>
    <n v="1"/>
    <n v="50"/>
    <n v="50"/>
  </r>
  <r>
    <n v="135"/>
    <d v="2023-02-26T00:00:00"/>
    <x v="134"/>
    <s v="Male"/>
    <n v="20"/>
    <x v="2"/>
    <x v="1"/>
    <n v="2"/>
    <n v="25"/>
    <n v="50"/>
  </r>
  <r>
    <n v="136"/>
    <d v="2023-03-20T00:00:00"/>
    <x v="135"/>
    <s v="Male"/>
    <n v="44"/>
    <x v="1"/>
    <x v="2"/>
    <n v="2"/>
    <n v="300"/>
    <n v="600"/>
  </r>
  <r>
    <n v="137"/>
    <d v="2023-11-18T00:00:00"/>
    <x v="136"/>
    <s v="Male"/>
    <n v="46"/>
    <x v="1"/>
    <x v="0"/>
    <n v="2"/>
    <n v="500"/>
    <n v="1000"/>
  </r>
  <r>
    <n v="138"/>
    <d v="2023-03-23T00:00:00"/>
    <x v="137"/>
    <s v="Male"/>
    <n v="49"/>
    <x v="1"/>
    <x v="1"/>
    <n v="4"/>
    <n v="50"/>
    <n v="200"/>
  </r>
  <r>
    <n v="139"/>
    <d v="2023-12-15T00:00:00"/>
    <x v="138"/>
    <s v="Male"/>
    <n v="36"/>
    <x v="0"/>
    <x v="0"/>
    <n v="4"/>
    <n v="500"/>
    <n v="2000"/>
  </r>
  <r>
    <n v="140"/>
    <d v="2023-08-05T00:00:00"/>
    <x v="139"/>
    <s v="Male"/>
    <n v="38"/>
    <x v="0"/>
    <x v="2"/>
    <n v="1"/>
    <n v="30"/>
    <n v="30"/>
  </r>
  <r>
    <n v="141"/>
    <d v="2023-11-02T00:00:00"/>
    <x v="140"/>
    <s v="Female"/>
    <n v="22"/>
    <x v="2"/>
    <x v="2"/>
    <n v="1"/>
    <n v="50"/>
    <n v="50"/>
  </r>
  <r>
    <n v="142"/>
    <d v="2023-02-02T00:00:00"/>
    <x v="141"/>
    <s v="Male"/>
    <n v="35"/>
    <x v="0"/>
    <x v="2"/>
    <n v="4"/>
    <n v="300"/>
    <n v="1200"/>
  </r>
  <r>
    <n v="143"/>
    <d v="2023-07-17T00:00:00"/>
    <x v="142"/>
    <s v="Female"/>
    <n v="45"/>
    <x v="1"/>
    <x v="1"/>
    <n v="1"/>
    <n v="50"/>
    <n v="50"/>
  </r>
  <r>
    <n v="144"/>
    <d v="2023-07-15T00:00:00"/>
    <x v="143"/>
    <s v="Female"/>
    <n v="59"/>
    <x v="1"/>
    <x v="0"/>
    <n v="3"/>
    <n v="500"/>
    <n v="1500"/>
  </r>
  <r>
    <n v="145"/>
    <d v="2023-11-02T00:00:00"/>
    <x v="144"/>
    <s v="Female"/>
    <n v="39"/>
    <x v="0"/>
    <x v="1"/>
    <n v="3"/>
    <n v="25"/>
    <n v="75"/>
  </r>
  <r>
    <n v="146"/>
    <d v="2023-08-28T00:00:00"/>
    <x v="145"/>
    <s v="Male"/>
    <n v="38"/>
    <x v="0"/>
    <x v="1"/>
    <n v="4"/>
    <n v="50"/>
    <n v="200"/>
  </r>
  <r>
    <n v="147"/>
    <d v="2023-09-28T00:00:00"/>
    <x v="146"/>
    <s v="Male"/>
    <n v="23"/>
    <x v="2"/>
    <x v="2"/>
    <n v="1"/>
    <n v="300"/>
    <n v="300"/>
  </r>
  <r>
    <n v="148"/>
    <d v="2023-05-09T00:00:00"/>
    <x v="147"/>
    <s v="Male"/>
    <n v="18"/>
    <x v="2"/>
    <x v="1"/>
    <n v="2"/>
    <n v="30"/>
    <n v="60"/>
  </r>
  <r>
    <n v="149"/>
    <d v="2023-10-11T00:00:00"/>
    <x v="148"/>
    <s v="Male"/>
    <n v="22"/>
    <x v="2"/>
    <x v="1"/>
    <n v="3"/>
    <n v="25"/>
    <n v="75"/>
  </r>
  <r>
    <n v="150"/>
    <d v="2023-01-06T00:00:00"/>
    <x v="149"/>
    <s v="Female"/>
    <n v="58"/>
    <x v="1"/>
    <x v="2"/>
    <n v="4"/>
    <n v="30"/>
    <n v="120"/>
  </r>
  <r>
    <n v="151"/>
    <d v="2023-12-15T00:00:00"/>
    <x v="150"/>
    <s v="Male"/>
    <n v="29"/>
    <x v="0"/>
    <x v="1"/>
    <n v="1"/>
    <n v="50"/>
    <n v="50"/>
  </r>
  <r>
    <n v="152"/>
    <d v="2023-02-28T00:00:00"/>
    <x v="151"/>
    <s v="Male"/>
    <n v="43"/>
    <x v="1"/>
    <x v="2"/>
    <n v="4"/>
    <n v="500"/>
    <n v="2000"/>
  </r>
  <r>
    <n v="153"/>
    <d v="2023-12-16T00:00:00"/>
    <x v="152"/>
    <s v="Male"/>
    <n v="63"/>
    <x v="1"/>
    <x v="2"/>
    <n v="2"/>
    <n v="500"/>
    <n v="1000"/>
  </r>
  <r>
    <n v="154"/>
    <d v="2023-10-02T00:00:00"/>
    <x v="153"/>
    <s v="Male"/>
    <n v="51"/>
    <x v="1"/>
    <x v="2"/>
    <n v="3"/>
    <n v="300"/>
    <n v="900"/>
  </r>
  <r>
    <n v="155"/>
    <d v="2023-05-17T00:00:00"/>
    <x v="154"/>
    <s v="Male"/>
    <n v="31"/>
    <x v="0"/>
    <x v="2"/>
    <n v="4"/>
    <n v="500"/>
    <n v="2000"/>
  </r>
  <r>
    <n v="156"/>
    <d v="2023-11-25T00:00:00"/>
    <x v="155"/>
    <s v="Female"/>
    <n v="43"/>
    <x v="1"/>
    <x v="1"/>
    <n v="4"/>
    <n v="25"/>
    <n v="100"/>
  </r>
  <r>
    <n v="157"/>
    <d v="2023-06-24T00:00:00"/>
    <x v="156"/>
    <s v="Male"/>
    <n v="62"/>
    <x v="1"/>
    <x v="2"/>
    <n v="4"/>
    <n v="500"/>
    <n v="2000"/>
  </r>
  <r>
    <n v="158"/>
    <d v="2023-02-27T00:00:00"/>
    <x v="157"/>
    <s v="Female"/>
    <n v="44"/>
    <x v="1"/>
    <x v="2"/>
    <n v="2"/>
    <n v="300"/>
    <n v="600"/>
  </r>
  <r>
    <n v="159"/>
    <d v="2023-05-31T00:00:00"/>
    <x v="158"/>
    <s v="Male"/>
    <n v="26"/>
    <x v="0"/>
    <x v="1"/>
    <n v="4"/>
    <n v="50"/>
    <n v="200"/>
  </r>
  <r>
    <n v="160"/>
    <d v="2023-08-11T00:00:00"/>
    <x v="159"/>
    <s v="Female"/>
    <n v="43"/>
    <x v="1"/>
    <x v="1"/>
    <n v="2"/>
    <n v="50"/>
    <n v="100"/>
  </r>
  <r>
    <n v="161"/>
    <d v="2023-03-22T00:00:00"/>
    <x v="160"/>
    <s v="Male"/>
    <n v="64"/>
    <x v="1"/>
    <x v="0"/>
    <n v="2"/>
    <n v="500"/>
    <n v="1000"/>
  </r>
  <r>
    <n v="162"/>
    <d v="2023-08-21T00:00:00"/>
    <x v="161"/>
    <s v="Male"/>
    <n v="39"/>
    <x v="0"/>
    <x v="1"/>
    <n v="2"/>
    <n v="30"/>
    <n v="60"/>
  </r>
  <r>
    <n v="163"/>
    <d v="2023-01-02T00:00:00"/>
    <x v="162"/>
    <s v="Female"/>
    <n v="64"/>
    <x v="1"/>
    <x v="1"/>
    <n v="3"/>
    <n v="50"/>
    <n v="150"/>
  </r>
  <r>
    <n v="164"/>
    <d v="2023-05-15T00:00:00"/>
    <x v="163"/>
    <s v="Female"/>
    <n v="47"/>
    <x v="1"/>
    <x v="0"/>
    <n v="3"/>
    <n v="500"/>
    <n v="1500"/>
  </r>
  <r>
    <n v="165"/>
    <d v="2023-09-14T00:00:00"/>
    <x v="164"/>
    <s v="Female"/>
    <n v="60"/>
    <x v="1"/>
    <x v="1"/>
    <n v="4"/>
    <n v="300"/>
    <n v="1200"/>
  </r>
  <r>
    <n v="166"/>
    <d v="2023-04-02T00:00:00"/>
    <x v="165"/>
    <s v="Male"/>
    <n v="34"/>
    <x v="0"/>
    <x v="1"/>
    <n v="4"/>
    <n v="500"/>
    <n v="2000"/>
  </r>
  <r>
    <n v="167"/>
    <d v="2023-09-17T00:00:00"/>
    <x v="166"/>
    <s v="Female"/>
    <n v="43"/>
    <x v="1"/>
    <x v="1"/>
    <n v="3"/>
    <n v="50"/>
    <n v="150"/>
  </r>
  <r>
    <n v="168"/>
    <d v="2023-02-24T00:00:00"/>
    <x v="167"/>
    <s v="Male"/>
    <n v="53"/>
    <x v="1"/>
    <x v="1"/>
    <n v="1"/>
    <n v="300"/>
    <n v="300"/>
  </r>
  <r>
    <n v="169"/>
    <d v="2023-11-17T00:00:00"/>
    <x v="168"/>
    <s v="Male"/>
    <n v="18"/>
    <x v="2"/>
    <x v="0"/>
    <n v="3"/>
    <n v="500"/>
    <n v="1500"/>
  </r>
  <r>
    <n v="170"/>
    <d v="2023-06-02T00:00:00"/>
    <x v="169"/>
    <s v="Female"/>
    <n v="25"/>
    <x v="0"/>
    <x v="1"/>
    <n v="2"/>
    <n v="25"/>
    <n v="50"/>
  </r>
  <r>
    <n v="171"/>
    <d v="2023-11-24T00:00:00"/>
    <x v="170"/>
    <s v="Female"/>
    <n v="52"/>
    <x v="1"/>
    <x v="1"/>
    <n v="3"/>
    <n v="300"/>
    <n v="900"/>
  </r>
  <r>
    <n v="172"/>
    <d v="2023-09-17T00:00:00"/>
    <x v="171"/>
    <s v="Male"/>
    <n v="32"/>
    <x v="0"/>
    <x v="0"/>
    <n v="2"/>
    <n v="25"/>
    <n v="50"/>
  </r>
  <r>
    <n v="173"/>
    <d v="2023-11-08T00:00:00"/>
    <x v="172"/>
    <s v="Male"/>
    <n v="64"/>
    <x v="1"/>
    <x v="2"/>
    <n v="4"/>
    <n v="30"/>
    <n v="120"/>
  </r>
  <r>
    <n v="174"/>
    <d v="2023-04-12T00:00:00"/>
    <x v="173"/>
    <s v="Female"/>
    <n v="39"/>
    <x v="0"/>
    <x v="0"/>
    <n v="1"/>
    <n v="300"/>
    <n v="300"/>
  </r>
  <r>
    <n v="175"/>
    <d v="2023-03-20T00:00:00"/>
    <x v="174"/>
    <s v="Female"/>
    <n v="31"/>
    <x v="0"/>
    <x v="2"/>
    <n v="4"/>
    <n v="25"/>
    <n v="100"/>
  </r>
  <r>
    <n v="176"/>
    <d v="2023-07-11T00:00:00"/>
    <x v="175"/>
    <s v="Female"/>
    <n v="43"/>
    <x v="1"/>
    <x v="0"/>
    <n v="2"/>
    <n v="50"/>
    <n v="100"/>
  </r>
  <r>
    <n v="177"/>
    <d v="2023-03-24T00:00:00"/>
    <x v="176"/>
    <s v="Male"/>
    <n v="45"/>
    <x v="1"/>
    <x v="0"/>
    <n v="2"/>
    <n v="50"/>
    <n v="100"/>
  </r>
  <r>
    <n v="178"/>
    <d v="2023-10-04T00:00:00"/>
    <x v="177"/>
    <s v="Male"/>
    <n v="40"/>
    <x v="0"/>
    <x v="1"/>
    <n v="2"/>
    <n v="30"/>
    <n v="60"/>
  </r>
  <r>
    <n v="179"/>
    <d v="2023-09-29T00:00:00"/>
    <x v="178"/>
    <s v="Male"/>
    <n v="31"/>
    <x v="0"/>
    <x v="2"/>
    <n v="1"/>
    <n v="300"/>
    <n v="300"/>
  </r>
  <r>
    <n v="180"/>
    <d v="2023-01-01T00:00:00"/>
    <x v="179"/>
    <s v="Male"/>
    <n v="41"/>
    <x v="1"/>
    <x v="1"/>
    <n v="3"/>
    <n v="300"/>
    <n v="900"/>
  </r>
  <r>
    <n v="181"/>
    <d v="2023-11-03T00:00:00"/>
    <x v="180"/>
    <s v="Male"/>
    <n v="19"/>
    <x v="2"/>
    <x v="2"/>
    <n v="4"/>
    <n v="300"/>
    <n v="1200"/>
  </r>
  <r>
    <n v="182"/>
    <d v="2023-06-15T00:00:00"/>
    <x v="181"/>
    <s v="Male"/>
    <n v="62"/>
    <x v="1"/>
    <x v="0"/>
    <n v="4"/>
    <n v="30"/>
    <n v="120"/>
  </r>
  <r>
    <n v="183"/>
    <d v="2023-09-08T00:00:00"/>
    <x v="182"/>
    <s v="Female"/>
    <n v="43"/>
    <x v="1"/>
    <x v="0"/>
    <n v="3"/>
    <n v="300"/>
    <n v="900"/>
  </r>
  <r>
    <n v="184"/>
    <d v="2023-01-10T00:00:00"/>
    <x v="183"/>
    <s v="Male"/>
    <n v="31"/>
    <x v="0"/>
    <x v="2"/>
    <n v="4"/>
    <n v="50"/>
    <n v="200"/>
  </r>
  <r>
    <n v="185"/>
    <d v="2023-02-27T00:00:00"/>
    <x v="184"/>
    <s v="Male"/>
    <n v="24"/>
    <x v="2"/>
    <x v="1"/>
    <n v="1"/>
    <n v="25"/>
    <n v="25"/>
  </r>
  <r>
    <n v="186"/>
    <d v="2023-07-05T00:00:00"/>
    <x v="185"/>
    <s v="Male"/>
    <n v="20"/>
    <x v="2"/>
    <x v="1"/>
    <n v="4"/>
    <n v="50"/>
    <n v="200"/>
  </r>
  <r>
    <n v="187"/>
    <d v="2023-06-07T00:00:00"/>
    <x v="186"/>
    <s v="Female"/>
    <n v="64"/>
    <x v="1"/>
    <x v="1"/>
    <n v="2"/>
    <n v="50"/>
    <n v="100"/>
  </r>
  <r>
    <n v="188"/>
    <d v="2023-05-03T00:00:00"/>
    <x v="187"/>
    <s v="Male"/>
    <n v="40"/>
    <x v="0"/>
    <x v="1"/>
    <n v="3"/>
    <n v="25"/>
    <n v="75"/>
  </r>
  <r>
    <n v="189"/>
    <d v="2023-01-30T00:00:00"/>
    <x v="188"/>
    <s v="Male"/>
    <n v="63"/>
    <x v="1"/>
    <x v="0"/>
    <n v="1"/>
    <n v="50"/>
    <n v="50"/>
  </r>
  <r>
    <n v="190"/>
    <d v="2023-05-04T00:00:00"/>
    <x v="189"/>
    <s v="Female"/>
    <n v="60"/>
    <x v="1"/>
    <x v="0"/>
    <n v="3"/>
    <n v="30"/>
    <n v="90"/>
  </r>
  <r>
    <n v="191"/>
    <d v="2023-10-18T00:00:00"/>
    <x v="190"/>
    <s v="Male"/>
    <n v="64"/>
    <x v="1"/>
    <x v="0"/>
    <n v="1"/>
    <n v="25"/>
    <n v="25"/>
  </r>
  <r>
    <n v="192"/>
    <d v="2023-02-10T00:00:00"/>
    <x v="191"/>
    <s v="Male"/>
    <n v="62"/>
    <x v="1"/>
    <x v="0"/>
    <n v="2"/>
    <n v="50"/>
    <n v="100"/>
  </r>
  <r>
    <n v="193"/>
    <d v="2023-02-13T00:00:00"/>
    <x v="192"/>
    <s v="Male"/>
    <n v="35"/>
    <x v="0"/>
    <x v="0"/>
    <n v="3"/>
    <n v="500"/>
    <n v="1500"/>
  </r>
  <r>
    <n v="194"/>
    <d v="2023-09-06T00:00:00"/>
    <x v="193"/>
    <s v="Male"/>
    <n v="55"/>
    <x v="1"/>
    <x v="1"/>
    <n v="4"/>
    <n v="50"/>
    <n v="200"/>
  </r>
  <r>
    <n v="195"/>
    <d v="2023-02-05T00:00:00"/>
    <x v="194"/>
    <s v="Male"/>
    <n v="52"/>
    <x v="1"/>
    <x v="1"/>
    <n v="1"/>
    <n v="30"/>
    <n v="30"/>
  </r>
  <r>
    <n v="196"/>
    <d v="2023-09-30T00:00:00"/>
    <x v="195"/>
    <s v="Female"/>
    <n v="32"/>
    <x v="0"/>
    <x v="1"/>
    <n v="3"/>
    <n v="300"/>
    <n v="900"/>
  </r>
  <r>
    <n v="197"/>
    <d v="2023-03-06T00:00:00"/>
    <x v="196"/>
    <s v="Female"/>
    <n v="42"/>
    <x v="1"/>
    <x v="1"/>
    <n v="4"/>
    <n v="50"/>
    <n v="200"/>
  </r>
  <r>
    <n v="198"/>
    <d v="2023-03-07T00:00:00"/>
    <x v="197"/>
    <s v="Female"/>
    <n v="54"/>
    <x v="1"/>
    <x v="0"/>
    <n v="3"/>
    <n v="300"/>
    <n v="900"/>
  </r>
  <r>
    <n v="199"/>
    <d v="2023-12-04T00:00:00"/>
    <x v="198"/>
    <s v="Male"/>
    <n v="45"/>
    <x v="1"/>
    <x v="0"/>
    <n v="3"/>
    <n v="500"/>
    <n v="1500"/>
  </r>
  <r>
    <n v="200"/>
    <d v="2023-09-01T00:00:00"/>
    <x v="199"/>
    <s v="Male"/>
    <n v="27"/>
    <x v="0"/>
    <x v="0"/>
    <n v="3"/>
    <n v="50"/>
    <n v="150"/>
  </r>
  <r>
    <n v="201"/>
    <d v="2023-10-09T00:00:00"/>
    <x v="200"/>
    <s v="Male"/>
    <n v="56"/>
    <x v="1"/>
    <x v="2"/>
    <n v="1"/>
    <n v="25"/>
    <n v="25"/>
  </r>
  <r>
    <n v="202"/>
    <d v="2023-03-26T00:00:00"/>
    <x v="201"/>
    <s v="Female"/>
    <n v="34"/>
    <x v="0"/>
    <x v="1"/>
    <n v="4"/>
    <n v="300"/>
    <n v="1200"/>
  </r>
  <r>
    <n v="203"/>
    <d v="2023-05-16T00:00:00"/>
    <x v="202"/>
    <s v="Male"/>
    <n v="56"/>
    <x v="1"/>
    <x v="1"/>
    <n v="2"/>
    <n v="500"/>
    <n v="1000"/>
  </r>
  <r>
    <n v="204"/>
    <d v="2023-09-28T00:00:00"/>
    <x v="203"/>
    <s v="Male"/>
    <n v="39"/>
    <x v="0"/>
    <x v="0"/>
    <n v="1"/>
    <n v="25"/>
    <n v="25"/>
  </r>
  <r>
    <n v="205"/>
    <d v="2023-11-07T00:00:00"/>
    <x v="204"/>
    <s v="Female"/>
    <n v="43"/>
    <x v="1"/>
    <x v="1"/>
    <n v="1"/>
    <n v="25"/>
    <n v="25"/>
  </r>
  <r>
    <n v="206"/>
    <d v="2023-08-05T00:00:00"/>
    <x v="205"/>
    <s v="Male"/>
    <n v="61"/>
    <x v="1"/>
    <x v="1"/>
    <n v="1"/>
    <n v="25"/>
    <n v="25"/>
  </r>
  <r>
    <n v="207"/>
    <d v="2023-04-19T00:00:00"/>
    <x v="206"/>
    <s v="Female"/>
    <n v="42"/>
    <x v="1"/>
    <x v="0"/>
    <n v="2"/>
    <n v="25"/>
    <n v="50"/>
  </r>
  <r>
    <n v="208"/>
    <d v="2023-10-04T00:00:00"/>
    <x v="207"/>
    <s v="Female"/>
    <n v="34"/>
    <x v="0"/>
    <x v="2"/>
    <n v="4"/>
    <n v="50"/>
    <n v="200"/>
  </r>
  <r>
    <n v="209"/>
    <d v="2023-12-20T00:00:00"/>
    <x v="208"/>
    <s v="Female"/>
    <n v="30"/>
    <x v="0"/>
    <x v="2"/>
    <n v="4"/>
    <n v="50"/>
    <n v="200"/>
  </r>
  <r>
    <n v="210"/>
    <d v="2023-04-13T00:00:00"/>
    <x v="209"/>
    <s v="Male"/>
    <n v="37"/>
    <x v="0"/>
    <x v="2"/>
    <n v="4"/>
    <n v="50"/>
    <n v="200"/>
  </r>
  <r>
    <n v="211"/>
    <d v="2024-01-01T00:00:00"/>
    <x v="210"/>
    <s v="Male"/>
    <n v="42"/>
    <x v="1"/>
    <x v="0"/>
    <n v="3"/>
    <n v="500"/>
    <n v="1500"/>
  </r>
  <r>
    <n v="212"/>
    <d v="2023-06-09T00:00:00"/>
    <x v="211"/>
    <s v="Male"/>
    <n v="21"/>
    <x v="2"/>
    <x v="1"/>
    <n v="3"/>
    <n v="500"/>
    <n v="1500"/>
  </r>
  <r>
    <n v="213"/>
    <d v="2023-07-24T00:00:00"/>
    <x v="212"/>
    <s v="Male"/>
    <n v="27"/>
    <x v="0"/>
    <x v="0"/>
    <n v="3"/>
    <n v="500"/>
    <n v="1500"/>
  </r>
  <r>
    <n v="214"/>
    <d v="2023-12-10T00:00:00"/>
    <x v="213"/>
    <s v="Male"/>
    <n v="20"/>
    <x v="2"/>
    <x v="0"/>
    <n v="2"/>
    <n v="30"/>
    <n v="60"/>
  </r>
  <r>
    <n v="215"/>
    <d v="2023-11-29T00:00:00"/>
    <x v="214"/>
    <s v="Male"/>
    <n v="58"/>
    <x v="1"/>
    <x v="1"/>
    <n v="3"/>
    <n v="500"/>
    <n v="1500"/>
  </r>
  <r>
    <n v="216"/>
    <d v="2023-07-11T00:00:00"/>
    <x v="215"/>
    <s v="Male"/>
    <n v="62"/>
    <x v="1"/>
    <x v="2"/>
    <n v="2"/>
    <n v="50"/>
    <n v="100"/>
  </r>
  <r>
    <n v="217"/>
    <d v="2023-08-13T00:00:00"/>
    <x v="216"/>
    <s v="Female"/>
    <n v="35"/>
    <x v="0"/>
    <x v="2"/>
    <n v="4"/>
    <n v="50"/>
    <n v="200"/>
  </r>
  <r>
    <n v="218"/>
    <d v="2023-09-22T00:00:00"/>
    <x v="217"/>
    <s v="Male"/>
    <n v="64"/>
    <x v="1"/>
    <x v="0"/>
    <n v="3"/>
    <n v="30"/>
    <n v="90"/>
  </r>
  <r>
    <n v="219"/>
    <d v="2023-08-20T00:00:00"/>
    <x v="218"/>
    <s v="Female"/>
    <n v="53"/>
    <x v="1"/>
    <x v="2"/>
    <n v="3"/>
    <n v="30"/>
    <n v="90"/>
  </r>
  <r>
    <n v="220"/>
    <d v="2023-03-03T00:00:00"/>
    <x v="219"/>
    <s v="Male"/>
    <n v="64"/>
    <x v="1"/>
    <x v="0"/>
    <n v="1"/>
    <n v="500"/>
    <n v="500"/>
  </r>
  <r>
    <n v="221"/>
    <d v="2023-05-07T00:00:00"/>
    <x v="220"/>
    <s v="Male"/>
    <n v="39"/>
    <x v="0"/>
    <x v="0"/>
    <n v="2"/>
    <n v="300"/>
    <n v="600"/>
  </r>
  <r>
    <n v="222"/>
    <d v="2023-04-26T00:00:00"/>
    <x v="221"/>
    <s v="Male"/>
    <n v="51"/>
    <x v="1"/>
    <x v="1"/>
    <n v="4"/>
    <n v="30"/>
    <n v="120"/>
  </r>
  <r>
    <n v="223"/>
    <d v="2023-02-02T00:00:00"/>
    <x v="222"/>
    <s v="Female"/>
    <n v="64"/>
    <x v="1"/>
    <x v="1"/>
    <n v="1"/>
    <n v="25"/>
    <n v="25"/>
  </r>
  <r>
    <n v="224"/>
    <d v="2023-06-23T00:00:00"/>
    <x v="223"/>
    <s v="Female"/>
    <n v="25"/>
    <x v="0"/>
    <x v="1"/>
    <n v="1"/>
    <n v="50"/>
    <n v="50"/>
  </r>
  <r>
    <n v="225"/>
    <d v="2023-01-11T00:00:00"/>
    <x v="224"/>
    <s v="Female"/>
    <n v="57"/>
    <x v="1"/>
    <x v="0"/>
    <n v="4"/>
    <n v="25"/>
    <n v="100"/>
  </r>
  <r>
    <n v="226"/>
    <d v="2023-10-29T00:00:00"/>
    <x v="225"/>
    <s v="Female"/>
    <n v="61"/>
    <x v="1"/>
    <x v="1"/>
    <n v="1"/>
    <n v="50"/>
    <n v="50"/>
  </r>
  <r>
    <n v="227"/>
    <d v="2023-10-11T00:00:00"/>
    <x v="226"/>
    <s v="Male"/>
    <n v="36"/>
    <x v="0"/>
    <x v="2"/>
    <n v="2"/>
    <n v="50"/>
    <n v="100"/>
  </r>
  <r>
    <n v="228"/>
    <d v="2023-04-28T00:00:00"/>
    <x v="227"/>
    <s v="Female"/>
    <n v="59"/>
    <x v="1"/>
    <x v="2"/>
    <n v="2"/>
    <n v="30"/>
    <n v="60"/>
  </r>
  <r>
    <n v="229"/>
    <d v="2023-10-29T00:00:00"/>
    <x v="228"/>
    <s v="Male"/>
    <n v="58"/>
    <x v="1"/>
    <x v="0"/>
    <n v="3"/>
    <n v="30"/>
    <n v="90"/>
  </r>
  <r>
    <n v="230"/>
    <d v="2023-04-23T00:00:00"/>
    <x v="229"/>
    <s v="Male"/>
    <n v="54"/>
    <x v="1"/>
    <x v="0"/>
    <n v="1"/>
    <n v="25"/>
    <n v="25"/>
  </r>
  <r>
    <n v="231"/>
    <d v="2023-01-04T00:00:00"/>
    <x v="230"/>
    <s v="Female"/>
    <n v="23"/>
    <x v="2"/>
    <x v="1"/>
    <n v="3"/>
    <n v="50"/>
    <n v="150"/>
  </r>
  <r>
    <n v="232"/>
    <d v="2023-02-06T00:00:00"/>
    <x v="231"/>
    <s v="Female"/>
    <n v="43"/>
    <x v="1"/>
    <x v="0"/>
    <n v="1"/>
    <n v="25"/>
    <n v="25"/>
  </r>
  <r>
    <n v="233"/>
    <d v="2023-12-29T00:00:00"/>
    <x v="232"/>
    <s v="Female"/>
    <n v="51"/>
    <x v="1"/>
    <x v="0"/>
    <n v="2"/>
    <n v="300"/>
    <n v="600"/>
  </r>
  <r>
    <n v="234"/>
    <d v="2023-11-20T00:00:00"/>
    <x v="233"/>
    <s v="Female"/>
    <n v="62"/>
    <x v="1"/>
    <x v="2"/>
    <n v="2"/>
    <n v="25"/>
    <n v="50"/>
  </r>
  <r>
    <n v="235"/>
    <d v="2023-01-31T00:00:00"/>
    <x v="234"/>
    <s v="Female"/>
    <n v="23"/>
    <x v="2"/>
    <x v="2"/>
    <n v="2"/>
    <n v="500"/>
    <n v="1000"/>
  </r>
  <r>
    <n v="236"/>
    <d v="2023-04-28T00:00:00"/>
    <x v="235"/>
    <s v="Female"/>
    <n v="54"/>
    <x v="1"/>
    <x v="1"/>
    <n v="1"/>
    <n v="25"/>
    <n v="25"/>
  </r>
  <r>
    <n v="237"/>
    <d v="2023-02-04T00:00:00"/>
    <x v="236"/>
    <s v="Female"/>
    <n v="50"/>
    <x v="1"/>
    <x v="0"/>
    <n v="2"/>
    <n v="500"/>
    <n v="1000"/>
  </r>
  <r>
    <n v="238"/>
    <d v="2023-01-17T00:00:00"/>
    <x v="237"/>
    <s v="Female"/>
    <n v="39"/>
    <x v="0"/>
    <x v="0"/>
    <n v="1"/>
    <n v="500"/>
    <n v="500"/>
  </r>
  <r>
    <n v="239"/>
    <d v="2023-06-19T00:00:00"/>
    <x v="238"/>
    <s v="Male"/>
    <n v="38"/>
    <x v="0"/>
    <x v="2"/>
    <n v="3"/>
    <n v="500"/>
    <n v="1500"/>
  </r>
  <r>
    <n v="240"/>
    <d v="2023-02-06T00:00:00"/>
    <x v="239"/>
    <s v="Female"/>
    <n v="23"/>
    <x v="2"/>
    <x v="0"/>
    <n v="1"/>
    <n v="300"/>
    <n v="300"/>
  </r>
  <r>
    <n v="241"/>
    <d v="2023-09-21T00:00:00"/>
    <x v="240"/>
    <s v="Female"/>
    <n v="23"/>
    <x v="2"/>
    <x v="2"/>
    <n v="3"/>
    <n v="25"/>
    <n v="75"/>
  </r>
  <r>
    <n v="242"/>
    <d v="2023-05-02T00:00:00"/>
    <x v="241"/>
    <s v="Male"/>
    <n v="21"/>
    <x v="2"/>
    <x v="1"/>
    <n v="1"/>
    <n v="25"/>
    <n v="25"/>
  </r>
  <r>
    <n v="243"/>
    <d v="2023-05-23T00:00:00"/>
    <x v="242"/>
    <s v="Female"/>
    <n v="47"/>
    <x v="1"/>
    <x v="2"/>
    <n v="3"/>
    <n v="300"/>
    <n v="900"/>
  </r>
  <r>
    <n v="244"/>
    <d v="2023-12-09T00:00:00"/>
    <x v="243"/>
    <s v="Male"/>
    <n v="28"/>
    <x v="0"/>
    <x v="0"/>
    <n v="2"/>
    <n v="50"/>
    <n v="100"/>
  </r>
  <r>
    <n v="245"/>
    <d v="2023-09-06T00:00:00"/>
    <x v="244"/>
    <s v="Male"/>
    <n v="47"/>
    <x v="1"/>
    <x v="1"/>
    <n v="3"/>
    <n v="30"/>
    <n v="90"/>
  </r>
  <r>
    <n v="246"/>
    <d v="2023-04-20T00:00:00"/>
    <x v="245"/>
    <s v="Female"/>
    <n v="48"/>
    <x v="1"/>
    <x v="2"/>
    <n v="2"/>
    <n v="25"/>
    <n v="50"/>
  </r>
  <r>
    <n v="247"/>
    <d v="2023-10-04T00:00:00"/>
    <x v="246"/>
    <s v="Male"/>
    <n v="41"/>
    <x v="1"/>
    <x v="2"/>
    <n v="2"/>
    <n v="30"/>
    <n v="60"/>
  </r>
  <r>
    <n v="248"/>
    <d v="2023-03-09T00:00:00"/>
    <x v="247"/>
    <s v="Male"/>
    <n v="26"/>
    <x v="0"/>
    <x v="1"/>
    <n v="3"/>
    <n v="300"/>
    <n v="900"/>
  </r>
  <r>
    <n v="249"/>
    <d v="2023-10-20T00:00:00"/>
    <x v="248"/>
    <s v="Male"/>
    <n v="20"/>
    <x v="2"/>
    <x v="1"/>
    <n v="1"/>
    <n v="50"/>
    <n v="50"/>
  </r>
  <r>
    <n v="250"/>
    <d v="2023-10-23T00:00:00"/>
    <x v="249"/>
    <s v="Male"/>
    <n v="48"/>
    <x v="1"/>
    <x v="2"/>
    <n v="1"/>
    <n v="50"/>
    <n v="50"/>
  </r>
  <r>
    <n v="251"/>
    <d v="2023-08-31T00:00:00"/>
    <x v="250"/>
    <s v="Female"/>
    <n v="57"/>
    <x v="1"/>
    <x v="0"/>
    <n v="4"/>
    <n v="50"/>
    <n v="200"/>
  </r>
  <r>
    <n v="252"/>
    <d v="2023-05-05T00:00:00"/>
    <x v="251"/>
    <s v="Male"/>
    <n v="54"/>
    <x v="1"/>
    <x v="2"/>
    <n v="1"/>
    <n v="300"/>
    <n v="300"/>
  </r>
  <r>
    <n v="253"/>
    <d v="2023-08-31T00:00:00"/>
    <x v="252"/>
    <s v="Female"/>
    <n v="53"/>
    <x v="1"/>
    <x v="1"/>
    <n v="4"/>
    <n v="500"/>
    <n v="2000"/>
  </r>
  <r>
    <n v="254"/>
    <d v="2023-07-28T00:00:00"/>
    <x v="253"/>
    <s v="Male"/>
    <n v="41"/>
    <x v="1"/>
    <x v="2"/>
    <n v="1"/>
    <n v="500"/>
    <n v="500"/>
  </r>
  <r>
    <n v="255"/>
    <d v="2023-04-08T00:00:00"/>
    <x v="254"/>
    <s v="Male"/>
    <n v="48"/>
    <x v="1"/>
    <x v="1"/>
    <n v="1"/>
    <n v="30"/>
    <n v="30"/>
  </r>
  <r>
    <n v="256"/>
    <d v="2023-02-18T00:00:00"/>
    <x v="255"/>
    <s v="Male"/>
    <n v="23"/>
    <x v="2"/>
    <x v="1"/>
    <n v="2"/>
    <n v="500"/>
    <n v="1000"/>
  </r>
  <r>
    <n v="257"/>
    <d v="2023-02-19T00:00:00"/>
    <x v="256"/>
    <s v="Male"/>
    <n v="19"/>
    <x v="2"/>
    <x v="0"/>
    <n v="4"/>
    <n v="500"/>
    <n v="2000"/>
  </r>
  <r>
    <n v="258"/>
    <d v="2023-12-04T00:00:00"/>
    <x v="257"/>
    <s v="Female"/>
    <n v="37"/>
    <x v="0"/>
    <x v="1"/>
    <n v="1"/>
    <n v="50"/>
    <n v="50"/>
  </r>
  <r>
    <n v="259"/>
    <d v="2023-08-09T00:00:00"/>
    <x v="258"/>
    <s v="Female"/>
    <n v="45"/>
    <x v="1"/>
    <x v="1"/>
    <n v="4"/>
    <n v="50"/>
    <n v="200"/>
  </r>
  <r>
    <n v="260"/>
    <d v="2023-07-01T00:00:00"/>
    <x v="259"/>
    <s v="Male"/>
    <n v="28"/>
    <x v="0"/>
    <x v="0"/>
    <n v="2"/>
    <n v="30"/>
    <n v="60"/>
  </r>
  <r>
    <n v="261"/>
    <d v="2023-08-05T00:00:00"/>
    <x v="260"/>
    <s v="Male"/>
    <n v="21"/>
    <x v="2"/>
    <x v="1"/>
    <n v="2"/>
    <n v="25"/>
    <n v="50"/>
  </r>
  <r>
    <n v="262"/>
    <d v="2023-07-30T00:00:00"/>
    <x v="261"/>
    <s v="Female"/>
    <n v="32"/>
    <x v="0"/>
    <x v="0"/>
    <n v="4"/>
    <n v="30"/>
    <n v="120"/>
  </r>
  <r>
    <n v="263"/>
    <d v="2023-08-28T00:00:00"/>
    <x v="262"/>
    <s v="Male"/>
    <n v="23"/>
    <x v="2"/>
    <x v="0"/>
    <n v="2"/>
    <n v="30"/>
    <n v="60"/>
  </r>
  <r>
    <n v="264"/>
    <d v="2023-01-28T00:00:00"/>
    <x v="263"/>
    <s v="Male"/>
    <n v="47"/>
    <x v="1"/>
    <x v="1"/>
    <n v="3"/>
    <n v="300"/>
    <n v="900"/>
  </r>
  <r>
    <n v="265"/>
    <d v="2023-12-11T00:00:00"/>
    <x v="264"/>
    <s v="Male"/>
    <n v="55"/>
    <x v="1"/>
    <x v="1"/>
    <n v="3"/>
    <n v="300"/>
    <n v="900"/>
  </r>
  <r>
    <n v="266"/>
    <d v="2023-12-01T00:00:00"/>
    <x v="265"/>
    <s v="Female"/>
    <n v="19"/>
    <x v="2"/>
    <x v="2"/>
    <n v="2"/>
    <n v="30"/>
    <n v="60"/>
  </r>
  <r>
    <n v="267"/>
    <d v="2023-11-27T00:00:00"/>
    <x v="266"/>
    <s v="Female"/>
    <n v="32"/>
    <x v="0"/>
    <x v="0"/>
    <n v="3"/>
    <n v="30"/>
    <n v="90"/>
  </r>
  <r>
    <n v="268"/>
    <d v="2023-02-20T00:00:00"/>
    <x v="267"/>
    <s v="Female"/>
    <n v="28"/>
    <x v="0"/>
    <x v="2"/>
    <n v="1"/>
    <n v="30"/>
    <n v="30"/>
  </r>
  <r>
    <n v="269"/>
    <d v="2023-02-01T00:00:00"/>
    <x v="268"/>
    <s v="Male"/>
    <n v="25"/>
    <x v="0"/>
    <x v="1"/>
    <n v="4"/>
    <n v="500"/>
    <n v="2000"/>
  </r>
  <r>
    <n v="270"/>
    <d v="2023-07-26T00:00:00"/>
    <x v="269"/>
    <s v="Male"/>
    <n v="43"/>
    <x v="1"/>
    <x v="2"/>
    <n v="1"/>
    <n v="300"/>
    <n v="300"/>
  </r>
  <r>
    <n v="271"/>
    <d v="2023-06-23T00:00:00"/>
    <x v="270"/>
    <s v="Female"/>
    <n v="62"/>
    <x v="1"/>
    <x v="0"/>
    <n v="4"/>
    <n v="30"/>
    <n v="120"/>
  </r>
  <r>
    <n v="272"/>
    <d v="2023-02-25T00:00:00"/>
    <x v="271"/>
    <s v="Female"/>
    <n v="61"/>
    <x v="1"/>
    <x v="2"/>
    <n v="2"/>
    <n v="50"/>
    <n v="100"/>
  </r>
  <r>
    <n v="273"/>
    <d v="2023-05-08T00:00:00"/>
    <x v="272"/>
    <s v="Female"/>
    <n v="22"/>
    <x v="2"/>
    <x v="0"/>
    <n v="1"/>
    <n v="50"/>
    <n v="50"/>
  </r>
  <r>
    <n v="274"/>
    <d v="2023-04-09T00:00:00"/>
    <x v="273"/>
    <s v="Female"/>
    <n v="23"/>
    <x v="2"/>
    <x v="1"/>
    <n v="2"/>
    <n v="500"/>
    <n v="1000"/>
  </r>
  <r>
    <n v="275"/>
    <d v="2023-04-08T00:00:00"/>
    <x v="274"/>
    <s v="Male"/>
    <n v="43"/>
    <x v="1"/>
    <x v="1"/>
    <n v="2"/>
    <n v="500"/>
    <n v="1000"/>
  </r>
  <r>
    <n v="276"/>
    <d v="2023-10-02T00:00:00"/>
    <x v="275"/>
    <s v="Female"/>
    <n v="21"/>
    <x v="2"/>
    <x v="0"/>
    <n v="4"/>
    <n v="25"/>
    <n v="100"/>
  </r>
  <r>
    <n v="277"/>
    <d v="2023-08-18T00:00:00"/>
    <x v="276"/>
    <s v="Male"/>
    <n v="36"/>
    <x v="0"/>
    <x v="1"/>
    <n v="4"/>
    <n v="25"/>
    <n v="100"/>
  </r>
  <r>
    <n v="278"/>
    <d v="2023-03-13T00:00:00"/>
    <x v="277"/>
    <s v="Female"/>
    <n v="37"/>
    <x v="0"/>
    <x v="1"/>
    <n v="4"/>
    <n v="25"/>
    <n v="100"/>
  </r>
  <r>
    <n v="279"/>
    <d v="2023-08-05T00:00:00"/>
    <x v="278"/>
    <s v="Male"/>
    <n v="50"/>
    <x v="1"/>
    <x v="1"/>
    <n v="1"/>
    <n v="500"/>
    <n v="500"/>
  </r>
  <r>
    <n v="280"/>
    <d v="2023-04-04T00:00:00"/>
    <x v="279"/>
    <s v="Female"/>
    <n v="37"/>
    <x v="0"/>
    <x v="1"/>
    <n v="3"/>
    <n v="500"/>
    <n v="1500"/>
  </r>
  <r>
    <n v="281"/>
    <d v="2023-05-23T00:00:00"/>
    <x v="280"/>
    <s v="Female"/>
    <n v="29"/>
    <x v="0"/>
    <x v="0"/>
    <n v="4"/>
    <n v="500"/>
    <n v="2000"/>
  </r>
  <r>
    <n v="282"/>
    <d v="2023-08-25T00:00:00"/>
    <x v="281"/>
    <s v="Female"/>
    <n v="64"/>
    <x v="1"/>
    <x v="2"/>
    <n v="4"/>
    <n v="50"/>
    <n v="200"/>
  </r>
  <r>
    <n v="283"/>
    <d v="2023-05-08T00:00:00"/>
    <x v="282"/>
    <s v="Female"/>
    <n v="18"/>
    <x v="2"/>
    <x v="2"/>
    <n v="1"/>
    <n v="500"/>
    <n v="500"/>
  </r>
  <r>
    <n v="284"/>
    <d v="2023-02-08T00:00:00"/>
    <x v="283"/>
    <s v="Male"/>
    <n v="43"/>
    <x v="1"/>
    <x v="1"/>
    <n v="4"/>
    <n v="50"/>
    <n v="200"/>
  </r>
  <r>
    <n v="285"/>
    <d v="2023-08-15T00:00:00"/>
    <x v="284"/>
    <s v="Female"/>
    <n v="31"/>
    <x v="0"/>
    <x v="2"/>
    <n v="1"/>
    <n v="25"/>
    <n v="25"/>
  </r>
  <r>
    <n v="286"/>
    <d v="2023-10-09T00:00:00"/>
    <x v="285"/>
    <s v="Male"/>
    <n v="55"/>
    <x v="1"/>
    <x v="2"/>
    <n v="2"/>
    <n v="25"/>
    <n v="50"/>
  </r>
  <r>
    <n v="287"/>
    <d v="2023-02-20T00:00:00"/>
    <x v="286"/>
    <s v="Male"/>
    <n v="54"/>
    <x v="1"/>
    <x v="1"/>
    <n v="4"/>
    <n v="25"/>
    <n v="100"/>
  </r>
  <r>
    <n v="288"/>
    <d v="2023-01-26T00:00:00"/>
    <x v="287"/>
    <s v="Male"/>
    <n v="28"/>
    <x v="0"/>
    <x v="1"/>
    <n v="4"/>
    <n v="30"/>
    <n v="120"/>
  </r>
  <r>
    <n v="289"/>
    <d v="2023-11-30T00:00:00"/>
    <x v="288"/>
    <s v="Male"/>
    <n v="53"/>
    <x v="1"/>
    <x v="2"/>
    <n v="2"/>
    <n v="30"/>
    <n v="60"/>
  </r>
  <r>
    <n v="290"/>
    <d v="2023-10-04T00:00:00"/>
    <x v="289"/>
    <s v="Female"/>
    <n v="30"/>
    <x v="0"/>
    <x v="0"/>
    <n v="2"/>
    <n v="300"/>
    <n v="600"/>
  </r>
  <r>
    <n v="291"/>
    <d v="2023-01-08T00:00:00"/>
    <x v="290"/>
    <s v="Male"/>
    <n v="60"/>
    <x v="1"/>
    <x v="1"/>
    <n v="2"/>
    <n v="300"/>
    <n v="600"/>
  </r>
  <r>
    <n v="292"/>
    <d v="2023-02-17T00:00:00"/>
    <x v="291"/>
    <s v="Male"/>
    <n v="20"/>
    <x v="2"/>
    <x v="0"/>
    <n v="4"/>
    <n v="300"/>
    <n v="1200"/>
  </r>
  <r>
    <n v="293"/>
    <d v="2023-05-02T00:00:00"/>
    <x v="292"/>
    <s v="Male"/>
    <n v="50"/>
    <x v="1"/>
    <x v="2"/>
    <n v="3"/>
    <n v="30"/>
    <n v="90"/>
  </r>
  <r>
    <n v="294"/>
    <d v="2023-03-27T00:00:00"/>
    <x v="293"/>
    <s v="Female"/>
    <n v="23"/>
    <x v="2"/>
    <x v="1"/>
    <n v="3"/>
    <n v="30"/>
    <n v="90"/>
  </r>
  <r>
    <n v="295"/>
    <d v="2023-07-28T00:00:00"/>
    <x v="294"/>
    <s v="Female"/>
    <n v="27"/>
    <x v="0"/>
    <x v="0"/>
    <n v="3"/>
    <n v="300"/>
    <n v="900"/>
  </r>
  <r>
    <n v="296"/>
    <d v="2023-09-06T00:00:00"/>
    <x v="295"/>
    <s v="Female"/>
    <n v="22"/>
    <x v="2"/>
    <x v="1"/>
    <n v="4"/>
    <n v="300"/>
    <n v="1200"/>
  </r>
  <r>
    <n v="297"/>
    <d v="2023-09-04T00:00:00"/>
    <x v="296"/>
    <s v="Female"/>
    <n v="40"/>
    <x v="0"/>
    <x v="2"/>
    <n v="2"/>
    <n v="500"/>
    <n v="1000"/>
  </r>
  <r>
    <n v="298"/>
    <d v="2023-04-20T00:00:00"/>
    <x v="297"/>
    <s v="Male"/>
    <n v="27"/>
    <x v="0"/>
    <x v="0"/>
    <n v="4"/>
    <n v="300"/>
    <n v="1200"/>
  </r>
  <r>
    <n v="299"/>
    <d v="2023-07-25T00:00:00"/>
    <x v="298"/>
    <s v="Male"/>
    <n v="61"/>
    <x v="1"/>
    <x v="2"/>
    <n v="2"/>
    <n v="500"/>
    <n v="1000"/>
  </r>
  <r>
    <n v="300"/>
    <d v="2023-01-31T00:00:00"/>
    <x v="299"/>
    <s v="Female"/>
    <n v="19"/>
    <x v="2"/>
    <x v="2"/>
    <n v="4"/>
    <n v="50"/>
    <n v="200"/>
  </r>
  <r>
    <n v="301"/>
    <d v="2023-03-26T00:00:00"/>
    <x v="300"/>
    <s v="Male"/>
    <n v="30"/>
    <x v="0"/>
    <x v="1"/>
    <n v="4"/>
    <n v="30"/>
    <n v="120"/>
  </r>
  <r>
    <n v="302"/>
    <d v="2023-07-14T00:00:00"/>
    <x v="301"/>
    <s v="Male"/>
    <n v="57"/>
    <x v="1"/>
    <x v="0"/>
    <n v="2"/>
    <n v="300"/>
    <n v="600"/>
  </r>
  <r>
    <n v="303"/>
    <d v="2023-01-02T00:00:00"/>
    <x v="302"/>
    <s v="Male"/>
    <n v="19"/>
    <x v="2"/>
    <x v="2"/>
    <n v="3"/>
    <n v="30"/>
    <n v="90"/>
  </r>
  <r>
    <n v="304"/>
    <d v="2023-07-19T00:00:00"/>
    <x v="303"/>
    <s v="Female"/>
    <n v="37"/>
    <x v="0"/>
    <x v="2"/>
    <n v="2"/>
    <n v="30"/>
    <n v="60"/>
  </r>
  <r>
    <n v="305"/>
    <d v="2023-05-16T00:00:00"/>
    <x v="304"/>
    <s v="Female"/>
    <n v="18"/>
    <x v="2"/>
    <x v="0"/>
    <n v="1"/>
    <n v="30"/>
    <n v="30"/>
  </r>
  <r>
    <n v="306"/>
    <d v="2023-08-21T00:00:00"/>
    <x v="305"/>
    <s v="Male"/>
    <n v="54"/>
    <x v="1"/>
    <x v="2"/>
    <n v="1"/>
    <n v="50"/>
    <n v="50"/>
  </r>
  <r>
    <n v="307"/>
    <d v="2023-05-27T00:00:00"/>
    <x v="306"/>
    <s v="Female"/>
    <n v="26"/>
    <x v="0"/>
    <x v="2"/>
    <n v="2"/>
    <n v="25"/>
    <n v="50"/>
  </r>
  <r>
    <n v="308"/>
    <d v="2023-08-05T00:00:00"/>
    <x v="307"/>
    <s v="Female"/>
    <n v="34"/>
    <x v="0"/>
    <x v="0"/>
    <n v="4"/>
    <n v="300"/>
    <n v="1200"/>
  </r>
  <r>
    <n v="309"/>
    <d v="2023-12-23T00:00:00"/>
    <x v="308"/>
    <s v="Female"/>
    <n v="26"/>
    <x v="0"/>
    <x v="0"/>
    <n v="1"/>
    <n v="25"/>
    <n v="25"/>
  </r>
  <r>
    <n v="310"/>
    <d v="2023-10-12T00:00:00"/>
    <x v="309"/>
    <s v="Female"/>
    <n v="28"/>
    <x v="0"/>
    <x v="0"/>
    <n v="1"/>
    <n v="25"/>
    <n v="25"/>
  </r>
  <r>
    <n v="311"/>
    <d v="2023-12-05T00:00:00"/>
    <x v="310"/>
    <s v="Female"/>
    <n v="32"/>
    <x v="0"/>
    <x v="0"/>
    <n v="4"/>
    <n v="25"/>
    <n v="100"/>
  </r>
  <r>
    <n v="312"/>
    <d v="2023-09-07T00:00:00"/>
    <x v="311"/>
    <s v="Male"/>
    <n v="41"/>
    <x v="1"/>
    <x v="1"/>
    <n v="4"/>
    <n v="30"/>
    <n v="120"/>
  </r>
  <r>
    <n v="313"/>
    <d v="2023-03-21T00:00:00"/>
    <x v="312"/>
    <s v="Female"/>
    <n v="55"/>
    <x v="1"/>
    <x v="0"/>
    <n v="3"/>
    <n v="500"/>
    <n v="1500"/>
  </r>
  <r>
    <n v="314"/>
    <d v="2023-04-08T00:00:00"/>
    <x v="313"/>
    <s v="Male"/>
    <n v="52"/>
    <x v="1"/>
    <x v="1"/>
    <n v="4"/>
    <n v="30"/>
    <n v="120"/>
  </r>
  <r>
    <n v="315"/>
    <d v="2023-06-01T00:00:00"/>
    <x v="314"/>
    <s v="Male"/>
    <n v="47"/>
    <x v="1"/>
    <x v="1"/>
    <n v="2"/>
    <n v="30"/>
    <n v="60"/>
  </r>
  <r>
    <n v="316"/>
    <d v="2023-04-22T00:00:00"/>
    <x v="315"/>
    <s v="Female"/>
    <n v="48"/>
    <x v="1"/>
    <x v="1"/>
    <n v="2"/>
    <n v="25"/>
    <n v="50"/>
  </r>
  <r>
    <n v="317"/>
    <d v="2023-01-30T00:00:00"/>
    <x v="316"/>
    <s v="Male"/>
    <n v="22"/>
    <x v="2"/>
    <x v="2"/>
    <n v="3"/>
    <n v="30"/>
    <n v="90"/>
  </r>
  <r>
    <n v="318"/>
    <d v="2023-10-24T00:00:00"/>
    <x v="317"/>
    <s v="Male"/>
    <n v="61"/>
    <x v="1"/>
    <x v="1"/>
    <n v="1"/>
    <n v="25"/>
    <n v="25"/>
  </r>
  <r>
    <n v="319"/>
    <d v="2023-10-05T00:00:00"/>
    <x v="318"/>
    <s v="Male"/>
    <n v="31"/>
    <x v="0"/>
    <x v="1"/>
    <n v="1"/>
    <n v="500"/>
    <n v="500"/>
  </r>
  <r>
    <n v="320"/>
    <d v="2023-02-01T00:00:00"/>
    <x v="319"/>
    <s v="Female"/>
    <n v="28"/>
    <x v="0"/>
    <x v="2"/>
    <n v="4"/>
    <n v="300"/>
    <n v="1200"/>
  </r>
  <r>
    <n v="321"/>
    <d v="2023-06-10T00:00:00"/>
    <x v="320"/>
    <s v="Female"/>
    <n v="26"/>
    <x v="0"/>
    <x v="2"/>
    <n v="2"/>
    <n v="25"/>
    <n v="50"/>
  </r>
  <r>
    <n v="322"/>
    <d v="2023-01-30T00:00:00"/>
    <x v="321"/>
    <s v="Male"/>
    <n v="51"/>
    <x v="1"/>
    <x v="2"/>
    <n v="1"/>
    <n v="500"/>
    <n v="500"/>
  </r>
  <r>
    <n v="323"/>
    <d v="2023-01-26T00:00:00"/>
    <x v="322"/>
    <s v="Female"/>
    <n v="29"/>
    <x v="0"/>
    <x v="0"/>
    <n v="3"/>
    <n v="300"/>
    <n v="900"/>
  </r>
  <r>
    <n v="324"/>
    <d v="2023-10-27T00:00:00"/>
    <x v="323"/>
    <s v="Female"/>
    <n v="52"/>
    <x v="1"/>
    <x v="2"/>
    <n v="3"/>
    <n v="50"/>
    <n v="150"/>
  </r>
  <r>
    <n v="325"/>
    <d v="2023-09-02T00:00:00"/>
    <x v="324"/>
    <s v="Female"/>
    <n v="52"/>
    <x v="1"/>
    <x v="2"/>
    <n v="2"/>
    <n v="25"/>
    <n v="50"/>
  </r>
  <r>
    <n v="326"/>
    <d v="2023-09-15T00:00:00"/>
    <x v="325"/>
    <s v="Female"/>
    <n v="18"/>
    <x v="2"/>
    <x v="1"/>
    <n v="3"/>
    <n v="25"/>
    <n v="75"/>
  </r>
  <r>
    <n v="327"/>
    <d v="2023-09-29T00:00:00"/>
    <x v="326"/>
    <s v="Male"/>
    <n v="57"/>
    <x v="1"/>
    <x v="2"/>
    <n v="3"/>
    <n v="50"/>
    <n v="150"/>
  </r>
  <r>
    <n v="328"/>
    <d v="2023-03-22T00:00:00"/>
    <x v="327"/>
    <s v="Male"/>
    <n v="39"/>
    <x v="0"/>
    <x v="0"/>
    <n v="2"/>
    <n v="50"/>
    <n v="100"/>
  </r>
  <r>
    <n v="329"/>
    <d v="2023-01-30T00:00:00"/>
    <x v="328"/>
    <s v="Female"/>
    <n v="46"/>
    <x v="1"/>
    <x v="2"/>
    <n v="4"/>
    <n v="25"/>
    <n v="100"/>
  </r>
  <r>
    <n v="330"/>
    <d v="2023-09-18T00:00:00"/>
    <x v="329"/>
    <s v="Female"/>
    <n v="25"/>
    <x v="0"/>
    <x v="0"/>
    <n v="4"/>
    <n v="50"/>
    <n v="200"/>
  </r>
  <r>
    <n v="331"/>
    <d v="2023-02-11T00:00:00"/>
    <x v="330"/>
    <s v="Male"/>
    <n v="28"/>
    <x v="0"/>
    <x v="2"/>
    <n v="3"/>
    <n v="30"/>
    <n v="90"/>
  </r>
  <r>
    <n v="332"/>
    <d v="2023-04-06T00:00:00"/>
    <x v="331"/>
    <s v="Male"/>
    <n v="58"/>
    <x v="1"/>
    <x v="2"/>
    <n v="4"/>
    <n v="300"/>
    <n v="1200"/>
  </r>
  <r>
    <n v="333"/>
    <d v="2023-02-05T00:00:00"/>
    <x v="332"/>
    <s v="Female"/>
    <n v="54"/>
    <x v="1"/>
    <x v="2"/>
    <n v="4"/>
    <n v="300"/>
    <n v="1200"/>
  </r>
  <r>
    <n v="334"/>
    <d v="2023-11-01T00:00:00"/>
    <x v="333"/>
    <s v="Male"/>
    <n v="31"/>
    <x v="0"/>
    <x v="2"/>
    <n v="3"/>
    <n v="300"/>
    <n v="900"/>
  </r>
  <r>
    <n v="335"/>
    <d v="2023-02-04T00:00:00"/>
    <x v="334"/>
    <s v="Female"/>
    <n v="47"/>
    <x v="1"/>
    <x v="0"/>
    <n v="4"/>
    <n v="30"/>
    <n v="120"/>
  </r>
  <r>
    <n v="336"/>
    <d v="2023-12-12T00:00:00"/>
    <x v="335"/>
    <s v="Female"/>
    <n v="52"/>
    <x v="1"/>
    <x v="0"/>
    <n v="3"/>
    <n v="50"/>
    <n v="150"/>
  </r>
  <r>
    <n v="337"/>
    <d v="2023-05-01T00:00:00"/>
    <x v="336"/>
    <s v="Male"/>
    <n v="38"/>
    <x v="0"/>
    <x v="1"/>
    <n v="1"/>
    <n v="500"/>
    <n v="500"/>
  </r>
  <r>
    <n v="338"/>
    <d v="2023-07-26T00:00:00"/>
    <x v="337"/>
    <s v="Male"/>
    <n v="54"/>
    <x v="1"/>
    <x v="0"/>
    <n v="2"/>
    <n v="50"/>
    <n v="100"/>
  </r>
  <r>
    <n v="339"/>
    <d v="2023-03-03T00:00:00"/>
    <x v="338"/>
    <s v="Female"/>
    <n v="22"/>
    <x v="2"/>
    <x v="2"/>
    <n v="2"/>
    <n v="25"/>
    <n v="50"/>
  </r>
  <r>
    <n v="340"/>
    <d v="2023-10-19T00:00:00"/>
    <x v="339"/>
    <s v="Female"/>
    <n v="36"/>
    <x v="0"/>
    <x v="1"/>
    <n v="4"/>
    <n v="300"/>
    <n v="1200"/>
  </r>
  <r>
    <n v="341"/>
    <d v="2023-05-07T00:00:00"/>
    <x v="340"/>
    <s v="Male"/>
    <n v="31"/>
    <x v="0"/>
    <x v="1"/>
    <n v="4"/>
    <n v="50"/>
    <n v="200"/>
  </r>
  <r>
    <n v="342"/>
    <d v="2023-10-24T00:00:00"/>
    <x v="341"/>
    <s v="Female"/>
    <n v="43"/>
    <x v="1"/>
    <x v="1"/>
    <n v="4"/>
    <n v="500"/>
    <n v="2000"/>
  </r>
  <r>
    <n v="343"/>
    <d v="2023-11-01T00:00:00"/>
    <x v="342"/>
    <s v="Male"/>
    <n v="21"/>
    <x v="2"/>
    <x v="2"/>
    <n v="2"/>
    <n v="25"/>
    <n v="50"/>
  </r>
  <r>
    <n v="344"/>
    <d v="2023-01-21T00:00:00"/>
    <x v="343"/>
    <s v="Female"/>
    <n v="42"/>
    <x v="1"/>
    <x v="0"/>
    <n v="1"/>
    <n v="30"/>
    <n v="30"/>
  </r>
  <r>
    <n v="345"/>
    <d v="2023-11-14T00:00:00"/>
    <x v="344"/>
    <s v="Male"/>
    <n v="62"/>
    <x v="1"/>
    <x v="2"/>
    <n v="1"/>
    <n v="30"/>
    <n v="30"/>
  </r>
  <r>
    <n v="346"/>
    <d v="2023-02-11T00:00:00"/>
    <x v="345"/>
    <s v="Male"/>
    <n v="59"/>
    <x v="1"/>
    <x v="1"/>
    <n v="2"/>
    <n v="500"/>
    <n v="1000"/>
  </r>
  <r>
    <n v="347"/>
    <d v="2023-08-03T00:00:00"/>
    <x v="346"/>
    <s v="Male"/>
    <n v="42"/>
    <x v="1"/>
    <x v="2"/>
    <n v="1"/>
    <n v="25"/>
    <n v="25"/>
  </r>
  <r>
    <n v="348"/>
    <d v="2023-12-03T00:00:00"/>
    <x v="347"/>
    <s v="Female"/>
    <n v="35"/>
    <x v="0"/>
    <x v="2"/>
    <n v="2"/>
    <n v="300"/>
    <n v="600"/>
  </r>
  <r>
    <n v="349"/>
    <d v="2023-10-26T00:00:00"/>
    <x v="348"/>
    <s v="Female"/>
    <n v="57"/>
    <x v="1"/>
    <x v="0"/>
    <n v="1"/>
    <n v="50"/>
    <n v="50"/>
  </r>
  <r>
    <n v="350"/>
    <d v="2023-10-17T00:00:00"/>
    <x v="349"/>
    <s v="Male"/>
    <n v="25"/>
    <x v="0"/>
    <x v="0"/>
    <n v="3"/>
    <n v="25"/>
    <n v="75"/>
  </r>
  <r>
    <n v="351"/>
    <d v="2023-09-25T00:00:00"/>
    <x v="350"/>
    <s v="Female"/>
    <n v="56"/>
    <x v="1"/>
    <x v="1"/>
    <n v="3"/>
    <n v="30"/>
    <n v="90"/>
  </r>
  <r>
    <n v="352"/>
    <d v="2023-06-11T00:00:00"/>
    <x v="351"/>
    <s v="Male"/>
    <n v="57"/>
    <x v="1"/>
    <x v="2"/>
    <n v="2"/>
    <n v="500"/>
    <n v="1000"/>
  </r>
  <r>
    <n v="353"/>
    <d v="2023-05-14T00:00:00"/>
    <x v="352"/>
    <s v="Male"/>
    <n v="31"/>
    <x v="0"/>
    <x v="2"/>
    <n v="1"/>
    <n v="500"/>
    <n v="500"/>
  </r>
  <r>
    <n v="354"/>
    <d v="2023-04-15T00:00:00"/>
    <x v="353"/>
    <s v="Female"/>
    <n v="49"/>
    <x v="1"/>
    <x v="0"/>
    <n v="4"/>
    <n v="50"/>
    <n v="200"/>
  </r>
  <r>
    <n v="355"/>
    <d v="2023-12-09T00:00:00"/>
    <x v="354"/>
    <s v="Female"/>
    <n v="55"/>
    <x v="1"/>
    <x v="2"/>
    <n v="1"/>
    <n v="500"/>
    <n v="500"/>
  </r>
  <r>
    <n v="356"/>
    <d v="2023-06-10T00:00:00"/>
    <x v="355"/>
    <s v="Male"/>
    <n v="50"/>
    <x v="1"/>
    <x v="2"/>
    <n v="3"/>
    <n v="500"/>
    <n v="1500"/>
  </r>
  <r>
    <n v="357"/>
    <d v="2023-05-03T00:00:00"/>
    <x v="356"/>
    <s v="Female"/>
    <n v="40"/>
    <x v="0"/>
    <x v="2"/>
    <n v="3"/>
    <n v="25"/>
    <n v="75"/>
  </r>
  <r>
    <n v="358"/>
    <d v="2023-05-16T00:00:00"/>
    <x v="357"/>
    <s v="Female"/>
    <n v="32"/>
    <x v="0"/>
    <x v="0"/>
    <n v="1"/>
    <n v="300"/>
    <n v="300"/>
  </r>
  <r>
    <n v="359"/>
    <d v="2023-07-22T00:00:00"/>
    <x v="358"/>
    <s v="Male"/>
    <n v="50"/>
    <x v="1"/>
    <x v="1"/>
    <n v="1"/>
    <n v="50"/>
    <n v="50"/>
  </r>
  <r>
    <n v="360"/>
    <d v="2023-03-09T00:00:00"/>
    <x v="359"/>
    <s v="Male"/>
    <n v="42"/>
    <x v="1"/>
    <x v="1"/>
    <n v="4"/>
    <n v="25"/>
    <n v="100"/>
  </r>
  <r>
    <n v="361"/>
    <d v="2023-12-10T00:00:00"/>
    <x v="360"/>
    <s v="Female"/>
    <n v="34"/>
    <x v="0"/>
    <x v="2"/>
    <n v="4"/>
    <n v="300"/>
    <n v="1200"/>
  </r>
  <r>
    <n v="362"/>
    <d v="2023-11-27T00:00:00"/>
    <x v="361"/>
    <s v="Male"/>
    <n v="50"/>
    <x v="1"/>
    <x v="1"/>
    <n v="1"/>
    <n v="25"/>
    <n v="25"/>
  </r>
  <r>
    <n v="363"/>
    <d v="2023-06-03T00:00:00"/>
    <x v="362"/>
    <s v="Male"/>
    <n v="64"/>
    <x v="1"/>
    <x v="0"/>
    <n v="1"/>
    <n v="25"/>
    <n v="25"/>
  </r>
  <r>
    <n v="364"/>
    <d v="2023-08-23T00:00:00"/>
    <x v="363"/>
    <s v="Female"/>
    <n v="19"/>
    <x v="2"/>
    <x v="0"/>
    <n v="1"/>
    <n v="500"/>
    <n v="500"/>
  </r>
  <r>
    <n v="365"/>
    <d v="2023-06-11T00:00:00"/>
    <x v="364"/>
    <s v="Male"/>
    <n v="31"/>
    <x v="0"/>
    <x v="1"/>
    <n v="1"/>
    <n v="300"/>
    <n v="300"/>
  </r>
  <r>
    <n v="366"/>
    <d v="2023-02-07T00:00:00"/>
    <x v="365"/>
    <s v="Male"/>
    <n v="57"/>
    <x v="1"/>
    <x v="1"/>
    <n v="2"/>
    <n v="50"/>
    <n v="100"/>
  </r>
  <r>
    <n v="367"/>
    <d v="2023-01-05T00:00:00"/>
    <x v="366"/>
    <s v="Female"/>
    <n v="57"/>
    <x v="1"/>
    <x v="2"/>
    <n v="1"/>
    <n v="50"/>
    <n v="50"/>
  </r>
  <r>
    <n v="368"/>
    <d v="2023-08-23T00:00:00"/>
    <x v="367"/>
    <s v="Female"/>
    <n v="56"/>
    <x v="1"/>
    <x v="1"/>
    <n v="4"/>
    <n v="300"/>
    <n v="1200"/>
  </r>
  <r>
    <n v="369"/>
    <d v="2023-11-15T00:00:00"/>
    <x v="368"/>
    <s v="Male"/>
    <n v="23"/>
    <x v="2"/>
    <x v="2"/>
    <n v="3"/>
    <n v="500"/>
    <n v="1500"/>
  </r>
  <r>
    <n v="370"/>
    <d v="2023-10-16T00:00:00"/>
    <x v="369"/>
    <s v="Male"/>
    <n v="23"/>
    <x v="2"/>
    <x v="2"/>
    <n v="2"/>
    <n v="30"/>
    <n v="60"/>
  </r>
  <r>
    <n v="371"/>
    <d v="2023-02-21T00:00:00"/>
    <x v="370"/>
    <s v="Female"/>
    <n v="20"/>
    <x v="2"/>
    <x v="0"/>
    <n v="1"/>
    <n v="25"/>
    <n v="25"/>
  </r>
  <r>
    <n v="372"/>
    <d v="2023-02-07T00:00:00"/>
    <x v="371"/>
    <s v="Female"/>
    <n v="24"/>
    <x v="2"/>
    <x v="0"/>
    <n v="3"/>
    <n v="500"/>
    <n v="1500"/>
  </r>
  <r>
    <n v="373"/>
    <d v="2023-10-03T00:00:00"/>
    <x v="372"/>
    <s v="Female"/>
    <n v="25"/>
    <x v="0"/>
    <x v="0"/>
    <n v="2"/>
    <n v="300"/>
    <n v="600"/>
  </r>
  <r>
    <n v="374"/>
    <d v="2023-04-20T00:00:00"/>
    <x v="373"/>
    <s v="Female"/>
    <n v="59"/>
    <x v="1"/>
    <x v="0"/>
    <n v="3"/>
    <n v="25"/>
    <n v="75"/>
  </r>
  <r>
    <n v="375"/>
    <d v="2023-09-17T00:00:00"/>
    <x v="374"/>
    <s v="Male"/>
    <n v="32"/>
    <x v="0"/>
    <x v="1"/>
    <n v="1"/>
    <n v="50"/>
    <n v="50"/>
  </r>
  <r>
    <n v="376"/>
    <d v="2023-05-16T00:00:00"/>
    <x v="375"/>
    <s v="Female"/>
    <n v="64"/>
    <x v="1"/>
    <x v="0"/>
    <n v="1"/>
    <n v="30"/>
    <n v="30"/>
  </r>
  <r>
    <n v="377"/>
    <d v="2023-03-09T00:00:00"/>
    <x v="376"/>
    <s v="Female"/>
    <n v="46"/>
    <x v="1"/>
    <x v="1"/>
    <n v="4"/>
    <n v="50"/>
    <n v="200"/>
  </r>
  <r>
    <n v="378"/>
    <d v="2023-06-28T00:00:00"/>
    <x v="377"/>
    <s v="Male"/>
    <n v="50"/>
    <x v="1"/>
    <x v="0"/>
    <n v="1"/>
    <n v="300"/>
    <n v="300"/>
  </r>
  <r>
    <n v="379"/>
    <d v="2023-02-05T00:00:00"/>
    <x v="378"/>
    <s v="Female"/>
    <n v="47"/>
    <x v="1"/>
    <x v="1"/>
    <n v="1"/>
    <n v="25"/>
    <n v="25"/>
  </r>
  <r>
    <n v="380"/>
    <d v="2023-05-06T00:00:00"/>
    <x v="379"/>
    <s v="Male"/>
    <n v="56"/>
    <x v="1"/>
    <x v="2"/>
    <n v="2"/>
    <n v="300"/>
    <n v="600"/>
  </r>
  <r>
    <n v="381"/>
    <d v="2023-07-09T00:00:00"/>
    <x v="380"/>
    <s v="Female"/>
    <n v="44"/>
    <x v="1"/>
    <x v="1"/>
    <n v="4"/>
    <n v="25"/>
    <n v="100"/>
  </r>
  <r>
    <n v="382"/>
    <d v="2023-05-26T00:00:00"/>
    <x v="381"/>
    <s v="Female"/>
    <n v="53"/>
    <x v="1"/>
    <x v="1"/>
    <n v="2"/>
    <n v="500"/>
    <n v="1000"/>
  </r>
  <r>
    <n v="383"/>
    <d v="2023-03-22T00:00:00"/>
    <x v="382"/>
    <s v="Female"/>
    <n v="46"/>
    <x v="1"/>
    <x v="0"/>
    <n v="3"/>
    <n v="30"/>
    <n v="90"/>
  </r>
  <r>
    <n v="384"/>
    <d v="2023-08-13T00:00:00"/>
    <x v="383"/>
    <s v="Male"/>
    <n v="55"/>
    <x v="1"/>
    <x v="1"/>
    <n v="1"/>
    <n v="500"/>
    <n v="500"/>
  </r>
  <r>
    <n v="385"/>
    <d v="2023-10-06T00:00:00"/>
    <x v="384"/>
    <s v="Male"/>
    <n v="50"/>
    <x v="1"/>
    <x v="2"/>
    <n v="3"/>
    <n v="500"/>
    <n v="1500"/>
  </r>
  <r>
    <n v="386"/>
    <d v="2023-12-27T00:00:00"/>
    <x v="385"/>
    <s v="Female"/>
    <n v="54"/>
    <x v="1"/>
    <x v="2"/>
    <n v="2"/>
    <n v="300"/>
    <n v="600"/>
  </r>
  <r>
    <n v="387"/>
    <d v="2023-06-04T00:00:00"/>
    <x v="386"/>
    <s v="Male"/>
    <n v="44"/>
    <x v="1"/>
    <x v="0"/>
    <n v="1"/>
    <n v="30"/>
    <n v="30"/>
  </r>
  <r>
    <n v="388"/>
    <d v="2023-11-10T00:00:00"/>
    <x v="387"/>
    <s v="Male"/>
    <n v="50"/>
    <x v="1"/>
    <x v="2"/>
    <n v="1"/>
    <n v="25"/>
    <n v="25"/>
  </r>
  <r>
    <n v="389"/>
    <d v="2023-12-01T00:00:00"/>
    <x v="388"/>
    <s v="Male"/>
    <n v="21"/>
    <x v="2"/>
    <x v="1"/>
    <n v="2"/>
    <n v="25"/>
    <n v="50"/>
  </r>
  <r>
    <n v="390"/>
    <d v="2023-09-28T00:00:00"/>
    <x v="389"/>
    <s v="Male"/>
    <n v="39"/>
    <x v="0"/>
    <x v="2"/>
    <n v="2"/>
    <n v="50"/>
    <n v="100"/>
  </r>
  <r>
    <n v="391"/>
    <d v="2023-01-05T00:00:00"/>
    <x v="390"/>
    <s v="Male"/>
    <n v="19"/>
    <x v="2"/>
    <x v="0"/>
    <n v="2"/>
    <n v="25"/>
    <n v="50"/>
  </r>
  <r>
    <n v="392"/>
    <d v="2023-12-08T00:00:00"/>
    <x v="391"/>
    <s v="Male"/>
    <n v="27"/>
    <x v="0"/>
    <x v="1"/>
    <n v="2"/>
    <n v="300"/>
    <n v="600"/>
  </r>
  <r>
    <n v="393"/>
    <d v="2023-10-11T00:00:00"/>
    <x v="392"/>
    <s v="Female"/>
    <n v="22"/>
    <x v="2"/>
    <x v="0"/>
    <n v="2"/>
    <n v="500"/>
    <n v="1000"/>
  </r>
  <r>
    <n v="394"/>
    <d v="2023-06-03T00:00:00"/>
    <x v="393"/>
    <s v="Female"/>
    <n v="27"/>
    <x v="0"/>
    <x v="1"/>
    <n v="1"/>
    <n v="500"/>
    <n v="500"/>
  </r>
  <r>
    <n v="395"/>
    <d v="2023-12-06T00:00:00"/>
    <x v="394"/>
    <s v="Male"/>
    <n v="50"/>
    <x v="1"/>
    <x v="2"/>
    <n v="2"/>
    <n v="500"/>
    <n v="1000"/>
  </r>
  <r>
    <n v="396"/>
    <d v="2023-02-23T00:00:00"/>
    <x v="395"/>
    <s v="Female"/>
    <n v="55"/>
    <x v="1"/>
    <x v="0"/>
    <n v="1"/>
    <n v="30"/>
    <n v="30"/>
  </r>
  <r>
    <n v="397"/>
    <d v="2023-03-10T00:00:00"/>
    <x v="396"/>
    <s v="Female"/>
    <n v="30"/>
    <x v="0"/>
    <x v="0"/>
    <n v="1"/>
    <n v="25"/>
    <n v="25"/>
  </r>
  <r>
    <n v="398"/>
    <d v="2023-05-16T00:00:00"/>
    <x v="397"/>
    <s v="Female"/>
    <n v="48"/>
    <x v="1"/>
    <x v="1"/>
    <n v="2"/>
    <n v="300"/>
    <n v="600"/>
  </r>
  <r>
    <n v="399"/>
    <d v="2023-03-01T00:00:00"/>
    <x v="398"/>
    <s v="Female"/>
    <n v="64"/>
    <x v="1"/>
    <x v="0"/>
    <n v="2"/>
    <n v="30"/>
    <n v="60"/>
  </r>
  <r>
    <n v="400"/>
    <d v="2023-02-24T00:00:00"/>
    <x v="399"/>
    <s v="Male"/>
    <n v="53"/>
    <x v="1"/>
    <x v="1"/>
    <n v="4"/>
    <n v="50"/>
    <n v="200"/>
  </r>
  <r>
    <n v="401"/>
    <d v="2023-10-11T00:00:00"/>
    <x v="400"/>
    <s v="Female"/>
    <n v="62"/>
    <x v="1"/>
    <x v="1"/>
    <n v="1"/>
    <n v="300"/>
    <n v="300"/>
  </r>
  <r>
    <n v="402"/>
    <d v="2023-03-21T00:00:00"/>
    <x v="401"/>
    <s v="Female"/>
    <n v="41"/>
    <x v="1"/>
    <x v="1"/>
    <n v="2"/>
    <n v="300"/>
    <n v="600"/>
  </r>
  <r>
    <n v="403"/>
    <d v="2023-05-20T00:00:00"/>
    <x v="402"/>
    <s v="Male"/>
    <n v="32"/>
    <x v="0"/>
    <x v="1"/>
    <n v="2"/>
    <n v="300"/>
    <n v="600"/>
  </r>
  <r>
    <n v="404"/>
    <d v="2023-05-25T00:00:00"/>
    <x v="403"/>
    <s v="Male"/>
    <n v="46"/>
    <x v="1"/>
    <x v="2"/>
    <n v="2"/>
    <n v="500"/>
    <n v="1000"/>
  </r>
  <r>
    <n v="405"/>
    <d v="2023-11-06T00:00:00"/>
    <x v="404"/>
    <s v="Female"/>
    <n v="25"/>
    <x v="0"/>
    <x v="1"/>
    <n v="4"/>
    <n v="300"/>
    <n v="1200"/>
  </r>
  <r>
    <n v="406"/>
    <d v="2023-04-18T00:00:00"/>
    <x v="405"/>
    <s v="Female"/>
    <n v="22"/>
    <x v="2"/>
    <x v="0"/>
    <n v="4"/>
    <n v="25"/>
    <n v="100"/>
  </r>
  <r>
    <n v="407"/>
    <d v="2023-06-25T00:00:00"/>
    <x v="406"/>
    <s v="Female"/>
    <n v="46"/>
    <x v="1"/>
    <x v="2"/>
    <n v="3"/>
    <n v="300"/>
    <n v="900"/>
  </r>
  <r>
    <n v="408"/>
    <d v="2023-04-15T00:00:00"/>
    <x v="407"/>
    <s v="Female"/>
    <n v="64"/>
    <x v="1"/>
    <x v="0"/>
    <n v="1"/>
    <n v="500"/>
    <n v="500"/>
  </r>
  <r>
    <n v="409"/>
    <d v="2023-12-18T00:00:00"/>
    <x v="408"/>
    <s v="Female"/>
    <n v="21"/>
    <x v="2"/>
    <x v="2"/>
    <n v="3"/>
    <n v="300"/>
    <n v="900"/>
  </r>
  <r>
    <n v="410"/>
    <d v="2023-11-21T00:00:00"/>
    <x v="409"/>
    <s v="Female"/>
    <n v="29"/>
    <x v="0"/>
    <x v="1"/>
    <n v="2"/>
    <n v="50"/>
    <n v="100"/>
  </r>
  <r>
    <n v="411"/>
    <d v="2023-05-16T00:00:00"/>
    <x v="410"/>
    <s v="Male"/>
    <n v="62"/>
    <x v="1"/>
    <x v="2"/>
    <n v="4"/>
    <n v="50"/>
    <n v="200"/>
  </r>
  <r>
    <n v="412"/>
    <d v="2023-09-16T00:00:00"/>
    <x v="411"/>
    <s v="Female"/>
    <n v="19"/>
    <x v="2"/>
    <x v="2"/>
    <n v="4"/>
    <n v="500"/>
    <n v="2000"/>
  </r>
  <r>
    <n v="413"/>
    <d v="2023-09-08T00:00:00"/>
    <x v="412"/>
    <s v="Female"/>
    <n v="44"/>
    <x v="1"/>
    <x v="0"/>
    <n v="3"/>
    <n v="25"/>
    <n v="75"/>
  </r>
  <r>
    <n v="414"/>
    <d v="2023-05-09T00:00:00"/>
    <x v="413"/>
    <s v="Male"/>
    <n v="48"/>
    <x v="1"/>
    <x v="0"/>
    <n v="4"/>
    <n v="25"/>
    <n v="100"/>
  </r>
  <r>
    <n v="415"/>
    <d v="2023-01-27T00:00:00"/>
    <x v="414"/>
    <s v="Male"/>
    <n v="53"/>
    <x v="1"/>
    <x v="1"/>
    <n v="2"/>
    <n v="30"/>
    <n v="60"/>
  </r>
  <r>
    <n v="416"/>
    <d v="2023-02-17T00:00:00"/>
    <x v="415"/>
    <s v="Male"/>
    <n v="53"/>
    <x v="1"/>
    <x v="2"/>
    <n v="4"/>
    <n v="500"/>
    <n v="2000"/>
  </r>
  <r>
    <n v="417"/>
    <d v="2023-11-21T00:00:00"/>
    <x v="416"/>
    <s v="Male"/>
    <n v="43"/>
    <x v="1"/>
    <x v="2"/>
    <n v="3"/>
    <n v="300"/>
    <n v="900"/>
  </r>
  <r>
    <n v="418"/>
    <d v="2023-08-05T00:00:00"/>
    <x v="417"/>
    <s v="Female"/>
    <n v="60"/>
    <x v="1"/>
    <x v="2"/>
    <n v="2"/>
    <n v="500"/>
    <n v="1000"/>
  </r>
  <r>
    <n v="419"/>
    <d v="2023-05-22T00:00:00"/>
    <x v="418"/>
    <s v="Female"/>
    <n v="44"/>
    <x v="1"/>
    <x v="1"/>
    <n v="3"/>
    <n v="30"/>
    <n v="90"/>
  </r>
  <r>
    <n v="420"/>
    <d v="2023-01-23T00:00:00"/>
    <x v="419"/>
    <s v="Female"/>
    <n v="22"/>
    <x v="2"/>
    <x v="1"/>
    <n v="4"/>
    <n v="500"/>
    <n v="2000"/>
  </r>
  <r>
    <n v="421"/>
    <d v="2023-01-02T00:00:00"/>
    <x v="420"/>
    <s v="Female"/>
    <n v="37"/>
    <x v="0"/>
    <x v="1"/>
    <n v="3"/>
    <n v="500"/>
    <n v="1500"/>
  </r>
  <r>
    <n v="422"/>
    <d v="2023-06-20T00:00:00"/>
    <x v="421"/>
    <s v="Female"/>
    <n v="28"/>
    <x v="0"/>
    <x v="1"/>
    <n v="3"/>
    <n v="30"/>
    <n v="90"/>
  </r>
  <r>
    <n v="423"/>
    <d v="2023-03-08T00:00:00"/>
    <x v="422"/>
    <s v="Female"/>
    <n v="27"/>
    <x v="0"/>
    <x v="1"/>
    <n v="1"/>
    <n v="25"/>
    <n v="25"/>
  </r>
  <r>
    <n v="424"/>
    <d v="2023-11-23T00:00:00"/>
    <x v="423"/>
    <s v="Male"/>
    <n v="57"/>
    <x v="1"/>
    <x v="0"/>
    <n v="4"/>
    <n v="300"/>
    <n v="1200"/>
  </r>
  <r>
    <n v="425"/>
    <d v="2023-05-15T00:00:00"/>
    <x v="424"/>
    <s v="Female"/>
    <n v="55"/>
    <x v="1"/>
    <x v="2"/>
    <n v="4"/>
    <n v="30"/>
    <n v="120"/>
  </r>
  <r>
    <n v="426"/>
    <d v="2023-03-24T00:00:00"/>
    <x v="425"/>
    <s v="Male"/>
    <n v="23"/>
    <x v="2"/>
    <x v="2"/>
    <n v="3"/>
    <n v="50"/>
    <n v="150"/>
  </r>
  <r>
    <n v="427"/>
    <d v="2023-08-15T00:00:00"/>
    <x v="426"/>
    <s v="Male"/>
    <n v="25"/>
    <x v="0"/>
    <x v="2"/>
    <n v="1"/>
    <n v="25"/>
    <n v="25"/>
  </r>
  <r>
    <n v="428"/>
    <d v="2023-10-10T00:00:00"/>
    <x v="427"/>
    <s v="Female"/>
    <n v="40"/>
    <x v="0"/>
    <x v="2"/>
    <n v="4"/>
    <n v="50"/>
    <n v="200"/>
  </r>
  <r>
    <n v="429"/>
    <d v="2023-12-28T00:00:00"/>
    <x v="428"/>
    <s v="Male"/>
    <n v="64"/>
    <x v="1"/>
    <x v="2"/>
    <n v="2"/>
    <n v="25"/>
    <n v="50"/>
  </r>
  <r>
    <n v="430"/>
    <d v="2023-08-07T00:00:00"/>
    <x v="429"/>
    <s v="Female"/>
    <n v="43"/>
    <x v="1"/>
    <x v="2"/>
    <n v="3"/>
    <n v="300"/>
    <n v="900"/>
  </r>
  <r>
    <n v="431"/>
    <d v="2023-10-15T00:00:00"/>
    <x v="430"/>
    <s v="Male"/>
    <n v="63"/>
    <x v="1"/>
    <x v="2"/>
    <n v="4"/>
    <n v="300"/>
    <n v="1200"/>
  </r>
  <r>
    <n v="432"/>
    <d v="2023-01-05T00:00:00"/>
    <x v="431"/>
    <s v="Female"/>
    <n v="60"/>
    <x v="1"/>
    <x v="2"/>
    <n v="2"/>
    <n v="500"/>
    <n v="1000"/>
  </r>
  <r>
    <n v="433"/>
    <d v="2023-02-27T00:00:00"/>
    <x v="432"/>
    <s v="Male"/>
    <n v="29"/>
    <x v="0"/>
    <x v="0"/>
    <n v="4"/>
    <n v="50"/>
    <n v="200"/>
  </r>
  <r>
    <n v="434"/>
    <d v="2023-02-08T00:00:00"/>
    <x v="433"/>
    <s v="Female"/>
    <n v="43"/>
    <x v="1"/>
    <x v="2"/>
    <n v="2"/>
    <n v="25"/>
    <n v="50"/>
  </r>
  <r>
    <n v="435"/>
    <d v="2023-12-20T00:00:00"/>
    <x v="434"/>
    <s v="Female"/>
    <n v="30"/>
    <x v="0"/>
    <x v="0"/>
    <n v="3"/>
    <n v="300"/>
    <n v="900"/>
  </r>
  <r>
    <n v="436"/>
    <d v="2023-03-18T00:00:00"/>
    <x v="435"/>
    <s v="Female"/>
    <n v="57"/>
    <x v="1"/>
    <x v="1"/>
    <n v="4"/>
    <n v="30"/>
    <n v="120"/>
  </r>
  <r>
    <n v="437"/>
    <d v="2023-10-07T00:00:00"/>
    <x v="436"/>
    <s v="Female"/>
    <n v="35"/>
    <x v="0"/>
    <x v="2"/>
    <n v="4"/>
    <n v="300"/>
    <n v="1200"/>
  </r>
  <r>
    <n v="438"/>
    <d v="2023-01-19T00:00:00"/>
    <x v="437"/>
    <s v="Female"/>
    <n v="42"/>
    <x v="1"/>
    <x v="1"/>
    <n v="1"/>
    <n v="30"/>
    <n v="30"/>
  </r>
  <r>
    <n v="439"/>
    <d v="2023-07-09T00:00:00"/>
    <x v="438"/>
    <s v="Male"/>
    <n v="50"/>
    <x v="1"/>
    <x v="1"/>
    <n v="3"/>
    <n v="25"/>
    <n v="75"/>
  </r>
  <r>
    <n v="440"/>
    <d v="2023-10-26T00:00:00"/>
    <x v="439"/>
    <s v="Male"/>
    <n v="64"/>
    <x v="1"/>
    <x v="1"/>
    <n v="2"/>
    <n v="300"/>
    <n v="600"/>
  </r>
  <r>
    <n v="441"/>
    <d v="2023-10-10T00:00:00"/>
    <x v="440"/>
    <s v="Male"/>
    <n v="57"/>
    <x v="1"/>
    <x v="0"/>
    <n v="4"/>
    <n v="300"/>
    <n v="1200"/>
  </r>
  <r>
    <n v="442"/>
    <d v="2023-03-17T00:00:00"/>
    <x v="441"/>
    <s v="Female"/>
    <n v="60"/>
    <x v="1"/>
    <x v="1"/>
    <n v="4"/>
    <n v="25"/>
    <n v="100"/>
  </r>
  <r>
    <n v="443"/>
    <d v="2023-08-09T00:00:00"/>
    <x v="442"/>
    <s v="Male"/>
    <n v="29"/>
    <x v="0"/>
    <x v="1"/>
    <n v="2"/>
    <n v="300"/>
    <n v="600"/>
  </r>
  <r>
    <n v="444"/>
    <d v="2023-03-07T00:00:00"/>
    <x v="443"/>
    <s v="Female"/>
    <n v="61"/>
    <x v="1"/>
    <x v="1"/>
    <n v="3"/>
    <n v="30"/>
    <n v="90"/>
  </r>
  <r>
    <n v="445"/>
    <d v="2023-01-22T00:00:00"/>
    <x v="444"/>
    <s v="Female"/>
    <n v="53"/>
    <x v="1"/>
    <x v="2"/>
    <n v="1"/>
    <n v="300"/>
    <n v="300"/>
  </r>
  <r>
    <n v="446"/>
    <d v="2023-06-07T00:00:00"/>
    <x v="445"/>
    <s v="Male"/>
    <n v="21"/>
    <x v="2"/>
    <x v="2"/>
    <n v="1"/>
    <n v="50"/>
    <n v="50"/>
  </r>
  <r>
    <n v="447"/>
    <d v="2023-07-06T00:00:00"/>
    <x v="446"/>
    <s v="Male"/>
    <n v="22"/>
    <x v="2"/>
    <x v="0"/>
    <n v="4"/>
    <n v="500"/>
    <n v="2000"/>
  </r>
  <r>
    <n v="448"/>
    <d v="2023-01-21T00:00:00"/>
    <x v="447"/>
    <s v="Female"/>
    <n v="54"/>
    <x v="1"/>
    <x v="0"/>
    <n v="2"/>
    <n v="30"/>
    <n v="60"/>
  </r>
  <r>
    <n v="449"/>
    <d v="2023-07-03T00:00:00"/>
    <x v="448"/>
    <s v="Male"/>
    <n v="25"/>
    <x v="0"/>
    <x v="2"/>
    <n v="4"/>
    <n v="50"/>
    <n v="200"/>
  </r>
  <r>
    <n v="450"/>
    <d v="2023-04-18T00:00:00"/>
    <x v="449"/>
    <s v="Female"/>
    <n v="59"/>
    <x v="1"/>
    <x v="0"/>
    <n v="2"/>
    <n v="25"/>
    <n v="50"/>
  </r>
  <r>
    <n v="451"/>
    <d v="2023-12-16T00:00:00"/>
    <x v="450"/>
    <s v="Female"/>
    <n v="45"/>
    <x v="1"/>
    <x v="2"/>
    <n v="1"/>
    <n v="30"/>
    <n v="30"/>
  </r>
  <r>
    <n v="452"/>
    <d v="2023-05-08T00:00:00"/>
    <x v="451"/>
    <s v="Female"/>
    <n v="48"/>
    <x v="1"/>
    <x v="1"/>
    <n v="3"/>
    <n v="500"/>
    <n v="1500"/>
  </r>
  <r>
    <n v="453"/>
    <d v="2023-12-08T00:00:00"/>
    <x v="452"/>
    <s v="Female"/>
    <n v="26"/>
    <x v="0"/>
    <x v="1"/>
    <n v="2"/>
    <n v="500"/>
    <n v="1000"/>
  </r>
  <r>
    <n v="454"/>
    <d v="2023-02-22T00:00:00"/>
    <x v="453"/>
    <s v="Female"/>
    <n v="46"/>
    <x v="1"/>
    <x v="0"/>
    <n v="1"/>
    <n v="25"/>
    <n v="25"/>
  </r>
  <r>
    <n v="455"/>
    <d v="2023-07-01T00:00:00"/>
    <x v="454"/>
    <s v="Male"/>
    <n v="31"/>
    <x v="0"/>
    <x v="2"/>
    <n v="4"/>
    <n v="25"/>
    <n v="100"/>
  </r>
  <r>
    <n v="456"/>
    <d v="2023-10-14T00:00:00"/>
    <x v="455"/>
    <s v="Male"/>
    <n v="57"/>
    <x v="1"/>
    <x v="2"/>
    <n v="2"/>
    <n v="30"/>
    <n v="60"/>
  </r>
  <r>
    <n v="457"/>
    <d v="2023-07-28T00:00:00"/>
    <x v="456"/>
    <s v="Female"/>
    <n v="58"/>
    <x v="1"/>
    <x v="0"/>
    <n v="3"/>
    <n v="300"/>
    <n v="900"/>
  </r>
  <r>
    <n v="458"/>
    <d v="2023-11-14T00:00:00"/>
    <x v="457"/>
    <s v="Female"/>
    <n v="39"/>
    <x v="0"/>
    <x v="2"/>
    <n v="4"/>
    <n v="25"/>
    <n v="100"/>
  </r>
  <r>
    <n v="459"/>
    <d v="2023-03-21T00:00:00"/>
    <x v="458"/>
    <s v="Male"/>
    <n v="28"/>
    <x v="0"/>
    <x v="1"/>
    <n v="4"/>
    <n v="300"/>
    <n v="1200"/>
  </r>
  <r>
    <n v="460"/>
    <d v="2023-05-02T00:00:00"/>
    <x v="459"/>
    <s v="Male"/>
    <n v="40"/>
    <x v="0"/>
    <x v="0"/>
    <n v="1"/>
    <n v="50"/>
    <n v="50"/>
  </r>
  <r>
    <n v="461"/>
    <d v="2023-03-25T00:00:00"/>
    <x v="460"/>
    <s v="Female"/>
    <n v="18"/>
    <x v="2"/>
    <x v="0"/>
    <n v="2"/>
    <n v="500"/>
    <n v="1000"/>
  </r>
  <r>
    <n v="462"/>
    <d v="2023-04-01T00:00:00"/>
    <x v="461"/>
    <s v="Male"/>
    <n v="63"/>
    <x v="1"/>
    <x v="2"/>
    <n v="4"/>
    <n v="300"/>
    <n v="1200"/>
  </r>
  <r>
    <n v="463"/>
    <d v="2023-07-31T00:00:00"/>
    <x v="462"/>
    <s v="Female"/>
    <n v="54"/>
    <x v="1"/>
    <x v="0"/>
    <n v="3"/>
    <n v="500"/>
    <n v="1500"/>
  </r>
  <r>
    <n v="464"/>
    <d v="2023-01-13T00:00:00"/>
    <x v="463"/>
    <s v="Male"/>
    <n v="38"/>
    <x v="0"/>
    <x v="2"/>
    <n v="2"/>
    <n v="300"/>
    <n v="600"/>
  </r>
  <r>
    <n v="465"/>
    <d v="2023-04-02T00:00:00"/>
    <x v="464"/>
    <s v="Female"/>
    <n v="43"/>
    <x v="1"/>
    <x v="2"/>
    <n v="3"/>
    <n v="50"/>
    <n v="150"/>
  </r>
  <r>
    <n v="466"/>
    <d v="2023-06-20T00:00:00"/>
    <x v="465"/>
    <s v="Male"/>
    <n v="63"/>
    <x v="1"/>
    <x v="2"/>
    <n v="4"/>
    <n v="25"/>
    <n v="100"/>
  </r>
  <r>
    <n v="467"/>
    <d v="2023-07-30T00:00:00"/>
    <x v="466"/>
    <s v="Female"/>
    <n v="53"/>
    <x v="1"/>
    <x v="2"/>
    <n v="3"/>
    <n v="50"/>
    <n v="150"/>
  </r>
  <r>
    <n v="468"/>
    <d v="2023-12-09T00:00:00"/>
    <x v="467"/>
    <s v="Male"/>
    <n v="40"/>
    <x v="0"/>
    <x v="2"/>
    <n v="1"/>
    <n v="25"/>
    <n v="25"/>
  </r>
  <r>
    <n v="469"/>
    <d v="2023-05-08T00:00:00"/>
    <x v="468"/>
    <s v="Male"/>
    <n v="18"/>
    <x v="2"/>
    <x v="0"/>
    <n v="3"/>
    <n v="25"/>
    <n v="75"/>
  </r>
  <r>
    <n v="470"/>
    <d v="2023-05-17T00:00:00"/>
    <x v="469"/>
    <s v="Female"/>
    <n v="57"/>
    <x v="1"/>
    <x v="1"/>
    <n v="2"/>
    <n v="500"/>
    <n v="1000"/>
  </r>
  <r>
    <n v="471"/>
    <d v="2023-03-23T00:00:00"/>
    <x v="470"/>
    <s v="Male"/>
    <n v="32"/>
    <x v="0"/>
    <x v="1"/>
    <n v="3"/>
    <n v="50"/>
    <n v="150"/>
  </r>
  <r>
    <n v="472"/>
    <d v="2023-12-26T00:00:00"/>
    <x v="471"/>
    <s v="Female"/>
    <n v="38"/>
    <x v="0"/>
    <x v="0"/>
    <n v="3"/>
    <n v="300"/>
    <n v="900"/>
  </r>
  <r>
    <n v="473"/>
    <d v="2023-02-25T00:00:00"/>
    <x v="472"/>
    <s v="Male"/>
    <n v="64"/>
    <x v="1"/>
    <x v="0"/>
    <n v="1"/>
    <n v="50"/>
    <n v="50"/>
  </r>
  <r>
    <n v="474"/>
    <d v="2023-07-15T00:00:00"/>
    <x v="473"/>
    <s v="Female"/>
    <n v="26"/>
    <x v="0"/>
    <x v="1"/>
    <n v="3"/>
    <n v="500"/>
    <n v="1500"/>
  </r>
  <r>
    <n v="475"/>
    <d v="2023-01-20T00:00:00"/>
    <x v="474"/>
    <s v="Male"/>
    <n v="26"/>
    <x v="0"/>
    <x v="1"/>
    <n v="3"/>
    <n v="25"/>
    <n v="75"/>
  </r>
  <r>
    <n v="476"/>
    <d v="2023-08-29T00:00:00"/>
    <x v="475"/>
    <s v="Female"/>
    <n v="27"/>
    <x v="0"/>
    <x v="1"/>
    <n v="4"/>
    <n v="500"/>
    <n v="2000"/>
  </r>
  <r>
    <n v="477"/>
    <d v="2023-04-24T00:00:00"/>
    <x v="476"/>
    <s v="Male"/>
    <n v="43"/>
    <x v="1"/>
    <x v="1"/>
    <n v="4"/>
    <n v="30"/>
    <n v="120"/>
  </r>
  <r>
    <n v="478"/>
    <d v="2023-04-13T00:00:00"/>
    <x v="477"/>
    <s v="Female"/>
    <n v="58"/>
    <x v="1"/>
    <x v="1"/>
    <n v="2"/>
    <n v="30"/>
    <n v="60"/>
  </r>
  <r>
    <n v="479"/>
    <d v="2023-08-24T00:00:00"/>
    <x v="478"/>
    <s v="Male"/>
    <n v="52"/>
    <x v="1"/>
    <x v="2"/>
    <n v="4"/>
    <n v="300"/>
    <n v="1200"/>
  </r>
  <r>
    <n v="480"/>
    <d v="2023-06-29T00:00:00"/>
    <x v="479"/>
    <s v="Female"/>
    <n v="42"/>
    <x v="1"/>
    <x v="0"/>
    <n v="4"/>
    <n v="500"/>
    <n v="2000"/>
  </r>
  <r>
    <n v="481"/>
    <d v="2023-06-06T00:00:00"/>
    <x v="480"/>
    <s v="Female"/>
    <n v="43"/>
    <x v="1"/>
    <x v="2"/>
    <n v="4"/>
    <n v="300"/>
    <n v="1200"/>
  </r>
  <r>
    <n v="482"/>
    <d v="2023-04-27T00:00:00"/>
    <x v="481"/>
    <s v="Female"/>
    <n v="28"/>
    <x v="0"/>
    <x v="1"/>
    <n v="4"/>
    <n v="300"/>
    <n v="1200"/>
  </r>
  <r>
    <n v="483"/>
    <d v="2023-04-25T00:00:00"/>
    <x v="482"/>
    <s v="Male"/>
    <n v="55"/>
    <x v="1"/>
    <x v="1"/>
    <n v="1"/>
    <n v="30"/>
    <n v="30"/>
  </r>
  <r>
    <n v="484"/>
    <d v="2023-01-13T00:00:00"/>
    <x v="483"/>
    <s v="Female"/>
    <n v="19"/>
    <x v="2"/>
    <x v="1"/>
    <n v="4"/>
    <n v="300"/>
    <n v="1200"/>
  </r>
  <r>
    <n v="485"/>
    <d v="2023-12-04T00:00:00"/>
    <x v="484"/>
    <s v="Male"/>
    <n v="24"/>
    <x v="2"/>
    <x v="2"/>
    <n v="1"/>
    <n v="30"/>
    <n v="30"/>
  </r>
  <r>
    <n v="486"/>
    <d v="2023-04-09T00:00:00"/>
    <x v="485"/>
    <s v="Female"/>
    <n v="35"/>
    <x v="0"/>
    <x v="2"/>
    <n v="1"/>
    <n v="25"/>
    <n v="25"/>
  </r>
  <r>
    <n v="487"/>
    <d v="2023-07-24T00:00:00"/>
    <x v="486"/>
    <s v="Male"/>
    <n v="44"/>
    <x v="1"/>
    <x v="1"/>
    <n v="4"/>
    <n v="500"/>
    <n v="2000"/>
  </r>
  <r>
    <n v="488"/>
    <d v="2023-06-18T00:00:00"/>
    <x v="487"/>
    <s v="Female"/>
    <n v="51"/>
    <x v="1"/>
    <x v="2"/>
    <n v="3"/>
    <n v="300"/>
    <n v="900"/>
  </r>
  <r>
    <n v="489"/>
    <d v="2023-05-23T00:00:00"/>
    <x v="488"/>
    <s v="Male"/>
    <n v="44"/>
    <x v="1"/>
    <x v="2"/>
    <n v="1"/>
    <n v="30"/>
    <n v="30"/>
  </r>
  <r>
    <n v="490"/>
    <d v="2023-02-05T00:00:00"/>
    <x v="489"/>
    <s v="Male"/>
    <n v="34"/>
    <x v="0"/>
    <x v="1"/>
    <n v="3"/>
    <n v="50"/>
    <n v="150"/>
  </r>
  <r>
    <n v="491"/>
    <d v="2023-05-23T00:00:00"/>
    <x v="490"/>
    <s v="Female"/>
    <n v="60"/>
    <x v="1"/>
    <x v="2"/>
    <n v="3"/>
    <n v="300"/>
    <n v="900"/>
  </r>
  <r>
    <n v="492"/>
    <d v="2023-06-29T00:00:00"/>
    <x v="491"/>
    <s v="Male"/>
    <n v="61"/>
    <x v="1"/>
    <x v="0"/>
    <n v="4"/>
    <n v="25"/>
    <n v="100"/>
  </r>
  <r>
    <n v="493"/>
    <d v="2023-11-25T00:00:00"/>
    <x v="492"/>
    <s v="Male"/>
    <n v="41"/>
    <x v="1"/>
    <x v="0"/>
    <n v="2"/>
    <n v="25"/>
    <n v="50"/>
  </r>
  <r>
    <n v="494"/>
    <d v="2023-09-18T00:00:00"/>
    <x v="493"/>
    <s v="Female"/>
    <n v="42"/>
    <x v="1"/>
    <x v="0"/>
    <n v="4"/>
    <n v="50"/>
    <n v="200"/>
  </r>
  <r>
    <n v="495"/>
    <d v="2023-07-24T00:00:00"/>
    <x v="494"/>
    <s v="Male"/>
    <n v="24"/>
    <x v="2"/>
    <x v="0"/>
    <n v="2"/>
    <n v="30"/>
    <n v="60"/>
  </r>
  <r>
    <n v="496"/>
    <d v="2023-12-14T00:00:00"/>
    <x v="495"/>
    <s v="Male"/>
    <n v="23"/>
    <x v="2"/>
    <x v="1"/>
    <n v="2"/>
    <n v="300"/>
    <n v="600"/>
  </r>
  <r>
    <n v="497"/>
    <d v="2023-10-02T00:00:00"/>
    <x v="496"/>
    <s v="Male"/>
    <n v="41"/>
    <x v="1"/>
    <x v="1"/>
    <n v="4"/>
    <n v="30"/>
    <n v="120"/>
  </r>
  <r>
    <n v="498"/>
    <d v="2023-06-19T00:00:00"/>
    <x v="497"/>
    <s v="Female"/>
    <n v="50"/>
    <x v="1"/>
    <x v="1"/>
    <n v="4"/>
    <n v="25"/>
    <n v="100"/>
  </r>
  <r>
    <n v="499"/>
    <d v="2023-01-15T00:00:00"/>
    <x v="498"/>
    <s v="Male"/>
    <n v="46"/>
    <x v="1"/>
    <x v="0"/>
    <n v="2"/>
    <n v="30"/>
    <n v="60"/>
  </r>
  <r>
    <n v="500"/>
    <d v="2023-03-01T00:00:00"/>
    <x v="499"/>
    <s v="Female"/>
    <n v="60"/>
    <x v="1"/>
    <x v="0"/>
    <n v="4"/>
    <n v="25"/>
    <n v="100"/>
  </r>
  <r>
    <n v="501"/>
    <d v="2023-05-14T00:00:00"/>
    <x v="500"/>
    <s v="Male"/>
    <n v="39"/>
    <x v="0"/>
    <x v="2"/>
    <n v="2"/>
    <n v="30"/>
    <n v="60"/>
  </r>
  <r>
    <n v="502"/>
    <d v="2023-04-02T00:00:00"/>
    <x v="501"/>
    <s v="Male"/>
    <n v="43"/>
    <x v="1"/>
    <x v="2"/>
    <n v="3"/>
    <n v="50"/>
    <n v="150"/>
  </r>
  <r>
    <n v="503"/>
    <d v="2023-10-25T00:00:00"/>
    <x v="502"/>
    <s v="Male"/>
    <n v="45"/>
    <x v="1"/>
    <x v="0"/>
    <n v="4"/>
    <n v="500"/>
    <n v="2000"/>
  </r>
  <r>
    <n v="504"/>
    <d v="2023-05-16T00:00:00"/>
    <x v="503"/>
    <s v="Female"/>
    <n v="38"/>
    <x v="0"/>
    <x v="0"/>
    <n v="3"/>
    <n v="50"/>
    <n v="150"/>
  </r>
  <r>
    <n v="505"/>
    <d v="2023-01-20T00:00:00"/>
    <x v="504"/>
    <s v="Male"/>
    <n v="24"/>
    <x v="2"/>
    <x v="0"/>
    <n v="1"/>
    <n v="50"/>
    <n v="50"/>
  </r>
  <r>
    <n v="506"/>
    <d v="2023-02-25T00:00:00"/>
    <x v="505"/>
    <s v="Male"/>
    <n v="34"/>
    <x v="0"/>
    <x v="0"/>
    <n v="3"/>
    <n v="500"/>
    <n v="1500"/>
  </r>
  <r>
    <n v="507"/>
    <d v="2023-11-02T00:00:00"/>
    <x v="506"/>
    <s v="Female"/>
    <n v="37"/>
    <x v="0"/>
    <x v="2"/>
    <n v="3"/>
    <n v="500"/>
    <n v="1500"/>
  </r>
  <r>
    <n v="508"/>
    <d v="2023-08-11T00:00:00"/>
    <x v="507"/>
    <s v="Male"/>
    <n v="58"/>
    <x v="1"/>
    <x v="0"/>
    <n v="2"/>
    <n v="300"/>
    <n v="600"/>
  </r>
  <r>
    <n v="509"/>
    <d v="2023-06-26T00:00:00"/>
    <x v="508"/>
    <s v="Female"/>
    <n v="37"/>
    <x v="0"/>
    <x v="2"/>
    <n v="3"/>
    <n v="300"/>
    <n v="900"/>
  </r>
  <r>
    <n v="510"/>
    <d v="2023-06-10T00:00:00"/>
    <x v="509"/>
    <s v="Female"/>
    <n v="39"/>
    <x v="0"/>
    <x v="0"/>
    <n v="4"/>
    <n v="50"/>
    <n v="200"/>
  </r>
  <r>
    <n v="511"/>
    <d v="2023-08-12T00:00:00"/>
    <x v="510"/>
    <s v="Male"/>
    <n v="45"/>
    <x v="1"/>
    <x v="0"/>
    <n v="2"/>
    <n v="50"/>
    <n v="100"/>
  </r>
  <r>
    <n v="512"/>
    <d v="2023-11-07T00:00:00"/>
    <x v="511"/>
    <s v="Female"/>
    <n v="57"/>
    <x v="1"/>
    <x v="0"/>
    <n v="1"/>
    <n v="25"/>
    <n v="25"/>
  </r>
  <r>
    <n v="513"/>
    <d v="2023-09-19T00:00:00"/>
    <x v="512"/>
    <s v="Male"/>
    <n v="24"/>
    <x v="2"/>
    <x v="2"/>
    <n v="4"/>
    <n v="25"/>
    <n v="100"/>
  </r>
  <r>
    <n v="514"/>
    <d v="2023-03-01T00:00:00"/>
    <x v="513"/>
    <s v="Female"/>
    <n v="18"/>
    <x v="2"/>
    <x v="2"/>
    <n v="1"/>
    <n v="300"/>
    <n v="300"/>
  </r>
  <r>
    <n v="515"/>
    <d v="2023-07-17T00:00:00"/>
    <x v="514"/>
    <s v="Female"/>
    <n v="49"/>
    <x v="1"/>
    <x v="1"/>
    <n v="3"/>
    <n v="300"/>
    <n v="900"/>
  </r>
  <r>
    <n v="516"/>
    <d v="2023-10-23T00:00:00"/>
    <x v="515"/>
    <s v="Male"/>
    <n v="30"/>
    <x v="0"/>
    <x v="0"/>
    <n v="4"/>
    <n v="25"/>
    <n v="100"/>
  </r>
  <r>
    <n v="517"/>
    <d v="2023-04-08T00:00:00"/>
    <x v="516"/>
    <s v="Female"/>
    <n v="47"/>
    <x v="1"/>
    <x v="1"/>
    <n v="4"/>
    <n v="25"/>
    <n v="100"/>
  </r>
  <r>
    <n v="518"/>
    <d v="2023-05-11T00:00:00"/>
    <x v="517"/>
    <s v="Female"/>
    <n v="40"/>
    <x v="0"/>
    <x v="1"/>
    <n v="1"/>
    <n v="30"/>
    <n v="30"/>
  </r>
  <r>
    <n v="519"/>
    <d v="2023-01-23T00:00:00"/>
    <x v="518"/>
    <s v="Female"/>
    <n v="36"/>
    <x v="0"/>
    <x v="2"/>
    <n v="4"/>
    <n v="30"/>
    <n v="120"/>
  </r>
  <r>
    <n v="520"/>
    <d v="2023-12-29T00:00:00"/>
    <x v="519"/>
    <s v="Female"/>
    <n v="49"/>
    <x v="1"/>
    <x v="2"/>
    <n v="4"/>
    <n v="25"/>
    <n v="100"/>
  </r>
  <r>
    <n v="521"/>
    <d v="2023-08-12T00:00:00"/>
    <x v="520"/>
    <s v="Female"/>
    <n v="47"/>
    <x v="1"/>
    <x v="1"/>
    <n v="4"/>
    <n v="30"/>
    <n v="120"/>
  </r>
  <r>
    <n v="522"/>
    <d v="2023-01-01T00:00:00"/>
    <x v="521"/>
    <s v="Male"/>
    <n v="46"/>
    <x v="1"/>
    <x v="0"/>
    <n v="3"/>
    <n v="500"/>
    <n v="1500"/>
  </r>
  <r>
    <n v="523"/>
    <d v="2023-09-24T00:00:00"/>
    <x v="522"/>
    <s v="Female"/>
    <n v="62"/>
    <x v="1"/>
    <x v="2"/>
    <n v="1"/>
    <n v="300"/>
    <n v="300"/>
  </r>
  <r>
    <n v="524"/>
    <d v="2023-10-03T00:00:00"/>
    <x v="523"/>
    <s v="Male"/>
    <n v="46"/>
    <x v="1"/>
    <x v="0"/>
    <n v="4"/>
    <n v="300"/>
    <n v="1200"/>
  </r>
  <r>
    <n v="525"/>
    <d v="2023-12-18T00:00:00"/>
    <x v="524"/>
    <s v="Female"/>
    <n v="47"/>
    <x v="1"/>
    <x v="0"/>
    <n v="2"/>
    <n v="25"/>
    <n v="50"/>
  </r>
  <r>
    <n v="526"/>
    <d v="2023-12-10T00:00:00"/>
    <x v="525"/>
    <s v="Male"/>
    <n v="33"/>
    <x v="0"/>
    <x v="1"/>
    <n v="2"/>
    <n v="50"/>
    <n v="100"/>
  </r>
  <r>
    <n v="527"/>
    <d v="2023-04-11T00:00:00"/>
    <x v="526"/>
    <s v="Male"/>
    <n v="57"/>
    <x v="1"/>
    <x v="1"/>
    <n v="2"/>
    <n v="25"/>
    <n v="50"/>
  </r>
  <r>
    <n v="528"/>
    <d v="2023-07-06T00:00:00"/>
    <x v="527"/>
    <s v="Female"/>
    <n v="36"/>
    <x v="0"/>
    <x v="1"/>
    <n v="2"/>
    <n v="30"/>
    <n v="60"/>
  </r>
  <r>
    <n v="529"/>
    <d v="2023-08-09T00:00:00"/>
    <x v="528"/>
    <s v="Female"/>
    <n v="35"/>
    <x v="0"/>
    <x v="1"/>
    <n v="3"/>
    <n v="50"/>
    <n v="150"/>
  </r>
  <r>
    <n v="530"/>
    <d v="2023-02-05T00:00:00"/>
    <x v="529"/>
    <s v="Female"/>
    <n v="18"/>
    <x v="2"/>
    <x v="2"/>
    <n v="4"/>
    <n v="30"/>
    <n v="120"/>
  </r>
  <r>
    <n v="531"/>
    <d v="2023-12-07T00:00:00"/>
    <x v="530"/>
    <s v="Male"/>
    <n v="31"/>
    <x v="0"/>
    <x v="2"/>
    <n v="1"/>
    <n v="500"/>
    <n v="500"/>
  </r>
  <r>
    <n v="532"/>
    <d v="2023-06-19T00:00:00"/>
    <x v="531"/>
    <s v="Female"/>
    <n v="64"/>
    <x v="1"/>
    <x v="1"/>
    <n v="4"/>
    <n v="30"/>
    <n v="120"/>
  </r>
  <r>
    <n v="533"/>
    <d v="2023-11-16T00:00:00"/>
    <x v="532"/>
    <s v="Male"/>
    <n v="19"/>
    <x v="2"/>
    <x v="2"/>
    <n v="3"/>
    <n v="500"/>
    <n v="1500"/>
  </r>
  <r>
    <n v="534"/>
    <d v="2023-06-10T00:00:00"/>
    <x v="533"/>
    <s v="Male"/>
    <n v="45"/>
    <x v="1"/>
    <x v="1"/>
    <n v="2"/>
    <n v="500"/>
    <n v="1000"/>
  </r>
  <r>
    <n v="535"/>
    <d v="2023-12-06T00:00:00"/>
    <x v="534"/>
    <s v="Male"/>
    <n v="47"/>
    <x v="1"/>
    <x v="0"/>
    <n v="3"/>
    <n v="30"/>
    <n v="90"/>
  </r>
  <r>
    <n v="536"/>
    <d v="2023-03-05T00:00:00"/>
    <x v="535"/>
    <s v="Female"/>
    <n v="55"/>
    <x v="1"/>
    <x v="0"/>
    <n v="4"/>
    <n v="30"/>
    <n v="120"/>
  </r>
  <r>
    <n v="537"/>
    <d v="2023-06-03T00:00:00"/>
    <x v="536"/>
    <s v="Female"/>
    <n v="21"/>
    <x v="2"/>
    <x v="0"/>
    <n v="1"/>
    <n v="500"/>
    <n v="500"/>
  </r>
  <r>
    <n v="538"/>
    <d v="2023-09-17T00:00:00"/>
    <x v="537"/>
    <s v="Male"/>
    <n v="18"/>
    <x v="2"/>
    <x v="1"/>
    <n v="3"/>
    <n v="50"/>
    <n v="150"/>
  </r>
  <r>
    <n v="539"/>
    <d v="2023-06-08T00:00:00"/>
    <x v="538"/>
    <s v="Male"/>
    <n v="25"/>
    <x v="0"/>
    <x v="0"/>
    <n v="1"/>
    <n v="500"/>
    <n v="500"/>
  </r>
  <r>
    <n v="540"/>
    <d v="2023-12-08T00:00:00"/>
    <x v="539"/>
    <s v="Female"/>
    <n v="46"/>
    <x v="1"/>
    <x v="2"/>
    <n v="3"/>
    <n v="300"/>
    <n v="900"/>
  </r>
  <r>
    <n v="541"/>
    <d v="2023-07-29T00:00:00"/>
    <x v="540"/>
    <s v="Male"/>
    <n v="56"/>
    <x v="1"/>
    <x v="0"/>
    <n v="1"/>
    <n v="500"/>
    <n v="500"/>
  </r>
  <r>
    <n v="542"/>
    <d v="2023-06-17T00:00:00"/>
    <x v="541"/>
    <s v="Female"/>
    <n v="20"/>
    <x v="2"/>
    <x v="0"/>
    <n v="1"/>
    <n v="50"/>
    <n v="50"/>
  </r>
  <r>
    <n v="543"/>
    <d v="2023-07-26T00:00:00"/>
    <x v="542"/>
    <s v="Male"/>
    <n v="49"/>
    <x v="1"/>
    <x v="0"/>
    <n v="2"/>
    <n v="300"/>
    <n v="600"/>
  </r>
  <r>
    <n v="544"/>
    <d v="2023-12-23T00:00:00"/>
    <x v="543"/>
    <s v="Female"/>
    <n v="27"/>
    <x v="0"/>
    <x v="2"/>
    <n v="1"/>
    <n v="25"/>
    <n v="25"/>
  </r>
  <r>
    <n v="545"/>
    <d v="2023-06-01T00:00:00"/>
    <x v="544"/>
    <s v="Male"/>
    <n v="27"/>
    <x v="0"/>
    <x v="1"/>
    <n v="2"/>
    <n v="25"/>
    <n v="50"/>
  </r>
  <r>
    <n v="546"/>
    <d v="2023-10-11T00:00:00"/>
    <x v="545"/>
    <s v="Female"/>
    <n v="36"/>
    <x v="0"/>
    <x v="2"/>
    <n v="4"/>
    <n v="50"/>
    <n v="200"/>
  </r>
  <r>
    <n v="547"/>
    <d v="2023-03-07T00:00:00"/>
    <x v="546"/>
    <s v="Male"/>
    <n v="63"/>
    <x v="1"/>
    <x v="1"/>
    <n v="4"/>
    <n v="500"/>
    <n v="2000"/>
  </r>
  <r>
    <n v="548"/>
    <d v="2023-04-09T00:00:00"/>
    <x v="547"/>
    <s v="Female"/>
    <n v="51"/>
    <x v="1"/>
    <x v="1"/>
    <n v="2"/>
    <n v="30"/>
    <n v="60"/>
  </r>
  <r>
    <n v="549"/>
    <d v="2023-08-04T00:00:00"/>
    <x v="548"/>
    <s v="Female"/>
    <n v="50"/>
    <x v="1"/>
    <x v="0"/>
    <n v="2"/>
    <n v="50"/>
    <n v="100"/>
  </r>
  <r>
    <n v="550"/>
    <d v="2023-12-07T00:00:00"/>
    <x v="549"/>
    <s v="Male"/>
    <n v="40"/>
    <x v="0"/>
    <x v="1"/>
    <n v="3"/>
    <n v="300"/>
    <n v="900"/>
  </r>
  <r>
    <n v="551"/>
    <d v="2023-07-14T00:00:00"/>
    <x v="550"/>
    <s v="Male"/>
    <n v="45"/>
    <x v="1"/>
    <x v="2"/>
    <n v="3"/>
    <n v="300"/>
    <n v="900"/>
  </r>
  <r>
    <n v="552"/>
    <d v="2023-12-13T00:00:00"/>
    <x v="551"/>
    <s v="Female"/>
    <n v="49"/>
    <x v="1"/>
    <x v="2"/>
    <n v="3"/>
    <n v="25"/>
    <n v="75"/>
  </r>
  <r>
    <n v="553"/>
    <d v="2023-03-31T00:00:00"/>
    <x v="552"/>
    <s v="Male"/>
    <n v="24"/>
    <x v="2"/>
    <x v="1"/>
    <n v="4"/>
    <n v="300"/>
    <n v="1200"/>
  </r>
  <r>
    <n v="554"/>
    <d v="2023-11-12T00:00:00"/>
    <x v="553"/>
    <s v="Female"/>
    <n v="46"/>
    <x v="1"/>
    <x v="0"/>
    <n v="3"/>
    <n v="50"/>
    <n v="150"/>
  </r>
  <r>
    <n v="555"/>
    <d v="2023-10-19T00:00:00"/>
    <x v="554"/>
    <s v="Male"/>
    <n v="25"/>
    <x v="0"/>
    <x v="0"/>
    <n v="1"/>
    <n v="300"/>
    <n v="300"/>
  </r>
  <r>
    <n v="556"/>
    <d v="2023-06-04T00:00:00"/>
    <x v="555"/>
    <s v="Female"/>
    <n v="18"/>
    <x v="2"/>
    <x v="2"/>
    <n v="1"/>
    <n v="50"/>
    <n v="50"/>
  </r>
  <r>
    <n v="557"/>
    <d v="2023-07-27T00:00:00"/>
    <x v="556"/>
    <s v="Female"/>
    <n v="20"/>
    <x v="2"/>
    <x v="0"/>
    <n v="3"/>
    <n v="30"/>
    <n v="90"/>
  </r>
  <r>
    <n v="558"/>
    <d v="2023-10-08T00:00:00"/>
    <x v="557"/>
    <s v="Female"/>
    <n v="41"/>
    <x v="1"/>
    <x v="1"/>
    <n v="1"/>
    <n v="25"/>
    <n v="25"/>
  </r>
  <r>
    <n v="559"/>
    <d v="2023-01-01T00:00:00"/>
    <x v="558"/>
    <s v="Female"/>
    <n v="40"/>
    <x v="0"/>
    <x v="1"/>
    <n v="4"/>
    <n v="300"/>
    <n v="1200"/>
  </r>
  <r>
    <n v="560"/>
    <d v="2023-06-05T00:00:00"/>
    <x v="559"/>
    <s v="Female"/>
    <n v="25"/>
    <x v="0"/>
    <x v="2"/>
    <n v="1"/>
    <n v="50"/>
    <n v="50"/>
  </r>
  <r>
    <n v="561"/>
    <d v="2023-05-27T00:00:00"/>
    <x v="560"/>
    <s v="Female"/>
    <n v="64"/>
    <x v="1"/>
    <x v="1"/>
    <n v="4"/>
    <n v="500"/>
    <n v="2000"/>
  </r>
  <r>
    <n v="562"/>
    <d v="2023-04-18T00:00:00"/>
    <x v="561"/>
    <s v="Male"/>
    <n v="54"/>
    <x v="1"/>
    <x v="2"/>
    <n v="2"/>
    <n v="25"/>
    <n v="50"/>
  </r>
  <r>
    <n v="563"/>
    <d v="2023-08-09T00:00:00"/>
    <x v="562"/>
    <s v="Male"/>
    <n v="20"/>
    <x v="2"/>
    <x v="1"/>
    <n v="2"/>
    <n v="30"/>
    <n v="60"/>
  </r>
  <r>
    <n v="564"/>
    <d v="2023-10-24T00:00:00"/>
    <x v="563"/>
    <s v="Male"/>
    <n v="50"/>
    <x v="1"/>
    <x v="2"/>
    <n v="2"/>
    <n v="50"/>
    <n v="100"/>
  </r>
  <r>
    <n v="565"/>
    <d v="2023-11-07T00:00:00"/>
    <x v="564"/>
    <s v="Female"/>
    <n v="45"/>
    <x v="1"/>
    <x v="0"/>
    <n v="2"/>
    <n v="30"/>
    <n v="60"/>
  </r>
  <r>
    <n v="566"/>
    <d v="2023-12-02T00:00:00"/>
    <x v="565"/>
    <s v="Female"/>
    <n v="64"/>
    <x v="1"/>
    <x v="1"/>
    <n v="1"/>
    <n v="30"/>
    <n v="30"/>
  </r>
  <r>
    <n v="567"/>
    <d v="2023-06-14T00:00:00"/>
    <x v="566"/>
    <s v="Female"/>
    <n v="25"/>
    <x v="0"/>
    <x v="1"/>
    <n v="3"/>
    <n v="300"/>
    <n v="900"/>
  </r>
  <r>
    <n v="568"/>
    <d v="2023-08-27T00:00:00"/>
    <x v="567"/>
    <s v="Female"/>
    <n v="51"/>
    <x v="1"/>
    <x v="2"/>
    <n v="1"/>
    <n v="300"/>
    <n v="300"/>
  </r>
  <r>
    <n v="569"/>
    <d v="2023-08-15T00:00:00"/>
    <x v="568"/>
    <s v="Male"/>
    <n v="52"/>
    <x v="1"/>
    <x v="2"/>
    <n v="4"/>
    <n v="50"/>
    <n v="200"/>
  </r>
  <r>
    <n v="570"/>
    <d v="2023-08-15T00:00:00"/>
    <x v="569"/>
    <s v="Male"/>
    <n v="49"/>
    <x v="1"/>
    <x v="1"/>
    <n v="1"/>
    <n v="500"/>
    <n v="500"/>
  </r>
  <r>
    <n v="571"/>
    <d v="2023-12-12T00:00:00"/>
    <x v="570"/>
    <s v="Female"/>
    <n v="41"/>
    <x v="1"/>
    <x v="2"/>
    <n v="1"/>
    <n v="50"/>
    <n v="50"/>
  </r>
  <r>
    <n v="572"/>
    <d v="2023-04-20T00:00:00"/>
    <x v="571"/>
    <s v="Male"/>
    <n v="31"/>
    <x v="0"/>
    <x v="1"/>
    <n v="4"/>
    <n v="500"/>
    <n v="2000"/>
  </r>
  <r>
    <n v="573"/>
    <d v="2023-09-19T00:00:00"/>
    <x v="572"/>
    <s v="Male"/>
    <n v="49"/>
    <x v="1"/>
    <x v="0"/>
    <n v="2"/>
    <n v="30"/>
    <n v="60"/>
  </r>
  <r>
    <n v="574"/>
    <d v="2023-08-31T00:00:00"/>
    <x v="573"/>
    <s v="Female"/>
    <n v="63"/>
    <x v="1"/>
    <x v="2"/>
    <n v="2"/>
    <n v="25"/>
    <n v="50"/>
  </r>
  <r>
    <n v="575"/>
    <d v="2023-03-28T00:00:00"/>
    <x v="574"/>
    <s v="Male"/>
    <n v="60"/>
    <x v="1"/>
    <x v="1"/>
    <n v="2"/>
    <n v="50"/>
    <n v="100"/>
  </r>
  <r>
    <n v="576"/>
    <d v="2023-12-04T00:00:00"/>
    <x v="575"/>
    <s v="Female"/>
    <n v="33"/>
    <x v="0"/>
    <x v="0"/>
    <n v="3"/>
    <n v="50"/>
    <n v="150"/>
  </r>
  <r>
    <n v="577"/>
    <d v="2023-02-13T00:00:00"/>
    <x v="576"/>
    <s v="Male"/>
    <n v="21"/>
    <x v="2"/>
    <x v="0"/>
    <n v="4"/>
    <n v="500"/>
    <n v="2000"/>
  </r>
  <r>
    <n v="578"/>
    <d v="2023-05-26T00:00:00"/>
    <x v="577"/>
    <s v="Female"/>
    <n v="54"/>
    <x v="1"/>
    <x v="1"/>
    <n v="4"/>
    <n v="30"/>
    <n v="120"/>
  </r>
  <r>
    <n v="579"/>
    <d v="2023-09-21T00:00:00"/>
    <x v="578"/>
    <s v="Female"/>
    <n v="38"/>
    <x v="0"/>
    <x v="2"/>
    <n v="1"/>
    <n v="30"/>
    <n v="30"/>
  </r>
  <r>
    <n v="580"/>
    <d v="2023-12-06T00:00:00"/>
    <x v="579"/>
    <s v="Female"/>
    <n v="31"/>
    <x v="0"/>
    <x v="1"/>
    <n v="3"/>
    <n v="500"/>
    <n v="1500"/>
  </r>
  <r>
    <n v="581"/>
    <d v="2023-11-21T00:00:00"/>
    <x v="580"/>
    <s v="Female"/>
    <n v="48"/>
    <x v="1"/>
    <x v="0"/>
    <n v="2"/>
    <n v="30"/>
    <n v="60"/>
  </r>
  <r>
    <n v="582"/>
    <d v="2023-11-14T00:00:00"/>
    <x v="581"/>
    <s v="Male"/>
    <n v="35"/>
    <x v="0"/>
    <x v="1"/>
    <n v="3"/>
    <n v="300"/>
    <n v="900"/>
  </r>
  <r>
    <n v="583"/>
    <d v="2023-06-21T00:00:00"/>
    <x v="582"/>
    <s v="Female"/>
    <n v="24"/>
    <x v="2"/>
    <x v="2"/>
    <n v="4"/>
    <n v="25"/>
    <n v="100"/>
  </r>
  <r>
    <n v="584"/>
    <d v="2023-02-17T00:00:00"/>
    <x v="583"/>
    <s v="Female"/>
    <n v="27"/>
    <x v="0"/>
    <x v="0"/>
    <n v="4"/>
    <n v="50"/>
    <n v="200"/>
  </r>
  <r>
    <n v="585"/>
    <d v="2023-05-01T00:00:00"/>
    <x v="584"/>
    <s v="Female"/>
    <n v="24"/>
    <x v="2"/>
    <x v="1"/>
    <n v="1"/>
    <n v="25"/>
    <n v="25"/>
  </r>
  <r>
    <n v="586"/>
    <d v="2023-12-11T00:00:00"/>
    <x v="585"/>
    <s v="Male"/>
    <n v="50"/>
    <x v="1"/>
    <x v="2"/>
    <n v="1"/>
    <n v="50"/>
    <n v="50"/>
  </r>
  <r>
    <n v="587"/>
    <d v="2023-06-08T00:00:00"/>
    <x v="586"/>
    <s v="Female"/>
    <n v="40"/>
    <x v="0"/>
    <x v="0"/>
    <n v="4"/>
    <n v="300"/>
    <n v="1200"/>
  </r>
  <r>
    <n v="588"/>
    <d v="2023-04-26T00:00:00"/>
    <x v="587"/>
    <s v="Male"/>
    <n v="38"/>
    <x v="0"/>
    <x v="2"/>
    <n v="2"/>
    <n v="30"/>
    <n v="60"/>
  </r>
  <r>
    <n v="589"/>
    <d v="2023-04-12T00:00:00"/>
    <x v="588"/>
    <s v="Female"/>
    <n v="36"/>
    <x v="0"/>
    <x v="0"/>
    <n v="2"/>
    <n v="500"/>
    <n v="1000"/>
  </r>
  <r>
    <n v="590"/>
    <d v="2023-03-17T00:00:00"/>
    <x v="589"/>
    <s v="Male"/>
    <n v="36"/>
    <x v="0"/>
    <x v="1"/>
    <n v="3"/>
    <n v="300"/>
    <n v="900"/>
  </r>
  <r>
    <n v="591"/>
    <d v="2023-01-13T00:00:00"/>
    <x v="590"/>
    <s v="Male"/>
    <n v="53"/>
    <x v="1"/>
    <x v="2"/>
    <n v="4"/>
    <n v="25"/>
    <n v="100"/>
  </r>
  <r>
    <n v="592"/>
    <d v="2023-01-24T00:00:00"/>
    <x v="591"/>
    <s v="Female"/>
    <n v="46"/>
    <x v="1"/>
    <x v="0"/>
    <n v="4"/>
    <n v="500"/>
    <n v="2000"/>
  </r>
  <r>
    <n v="593"/>
    <d v="2023-05-06T00:00:00"/>
    <x v="592"/>
    <s v="Male"/>
    <n v="35"/>
    <x v="0"/>
    <x v="2"/>
    <n v="2"/>
    <n v="30"/>
    <n v="60"/>
  </r>
  <r>
    <n v="594"/>
    <d v="2023-09-01T00:00:00"/>
    <x v="593"/>
    <s v="Female"/>
    <n v="19"/>
    <x v="2"/>
    <x v="2"/>
    <n v="2"/>
    <n v="300"/>
    <n v="600"/>
  </r>
  <r>
    <n v="595"/>
    <d v="2023-11-09T00:00:00"/>
    <x v="594"/>
    <s v="Female"/>
    <n v="18"/>
    <x v="2"/>
    <x v="1"/>
    <n v="4"/>
    <n v="500"/>
    <n v="2000"/>
  </r>
  <r>
    <n v="596"/>
    <d v="2023-02-07T00:00:00"/>
    <x v="595"/>
    <s v="Female"/>
    <n v="64"/>
    <x v="1"/>
    <x v="2"/>
    <n v="1"/>
    <n v="300"/>
    <n v="300"/>
  </r>
  <r>
    <n v="597"/>
    <d v="2023-08-22T00:00:00"/>
    <x v="596"/>
    <s v="Male"/>
    <n v="22"/>
    <x v="2"/>
    <x v="0"/>
    <n v="4"/>
    <n v="300"/>
    <n v="1200"/>
  </r>
  <r>
    <n v="598"/>
    <d v="2023-08-01T00:00:00"/>
    <x v="597"/>
    <s v="Male"/>
    <n v="37"/>
    <x v="0"/>
    <x v="0"/>
    <n v="4"/>
    <n v="30"/>
    <n v="120"/>
  </r>
  <r>
    <n v="599"/>
    <d v="2023-11-19T00:00:00"/>
    <x v="598"/>
    <s v="Female"/>
    <n v="28"/>
    <x v="0"/>
    <x v="0"/>
    <n v="2"/>
    <n v="50"/>
    <n v="100"/>
  </r>
  <r>
    <n v="600"/>
    <d v="2023-10-22T00:00:00"/>
    <x v="599"/>
    <s v="Female"/>
    <n v="59"/>
    <x v="1"/>
    <x v="0"/>
    <n v="2"/>
    <n v="500"/>
    <n v="1000"/>
  </r>
  <r>
    <n v="601"/>
    <d v="2023-04-10T00:00:00"/>
    <x v="600"/>
    <s v="Male"/>
    <n v="19"/>
    <x v="2"/>
    <x v="1"/>
    <n v="1"/>
    <n v="30"/>
    <n v="30"/>
  </r>
  <r>
    <n v="602"/>
    <d v="2023-12-23T00:00:00"/>
    <x v="601"/>
    <s v="Female"/>
    <n v="20"/>
    <x v="2"/>
    <x v="2"/>
    <n v="1"/>
    <n v="300"/>
    <n v="300"/>
  </r>
  <r>
    <n v="603"/>
    <d v="2023-07-16T00:00:00"/>
    <x v="602"/>
    <s v="Female"/>
    <n v="40"/>
    <x v="0"/>
    <x v="1"/>
    <n v="3"/>
    <n v="30"/>
    <n v="90"/>
  </r>
  <r>
    <n v="604"/>
    <d v="2023-09-11T00:00:00"/>
    <x v="603"/>
    <s v="Female"/>
    <n v="29"/>
    <x v="0"/>
    <x v="2"/>
    <n v="4"/>
    <n v="50"/>
    <n v="200"/>
  </r>
  <r>
    <n v="605"/>
    <d v="2023-07-24T00:00:00"/>
    <x v="604"/>
    <s v="Male"/>
    <n v="37"/>
    <x v="0"/>
    <x v="2"/>
    <n v="2"/>
    <n v="500"/>
    <n v="1000"/>
  </r>
  <r>
    <n v="606"/>
    <d v="2023-05-05T00:00:00"/>
    <x v="605"/>
    <s v="Male"/>
    <n v="22"/>
    <x v="2"/>
    <x v="2"/>
    <n v="1"/>
    <n v="50"/>
    <n v="50"/>
  </r>
  <r>
    <n v="607"/>
    <d v="2023-03-17T00:00:00"/>
    <x v="606"/>
    <s v="Male"/>
    <n v="54"/>
    <x v="1"/>
    <x v="1"/>
    <n v="3"/>
    <n v="25"/>
    <n v="75"/>
  </r>
  <r>
    <n v="608"/>
    <d v="2023-12-02T00:00:00"/>
    <x v="607"/>
    <s v="Female"/>
    <n v="55"/>
    <x v="1"/>
    <x v="2"/>
    <n v="3"/>
    <n v="500"/>
    <n v="1500"/>
  </r>
  <r>
    <n v="609"/>
    <d v="2023-12-19T00:00:00"/>
    <x v="608"/>
    <s v="Female"/>
    <n v="47"/>
    <x v="1"/>
    <x v="1"/>
    <n v="2"/>
    <n v="50"/>
    <n v="100"/>
  </r>
  <r>
    <n v="610"/>
    <d v="2023-01-03T00:00:00"/>
    <x v="609"/>
    <s v="Female"/>
    <n v="26"/>
    <x v="0"/>
    <x v="0"/>
    <n v="2"/>
    <n v="300"/>
    <n v="600"/>
  </r>
  <r>
    <n v="611"/>
    <d v="2023-02-24T00:00:00"/>
    <x v="610"/>
    <s v="Male"/>
    <n v="51"/>
    <x v="1"/>
    <x v="0"/>
    <n v="3"/>
    <n v="500"/>
    <n v="1500"/>
  </r>
  <r>
    <n v="612"/>
    <d v="2023-08-06T00:00:00"/>
    <x v="611"/>
    <s v="Female"/>
    <n v="61"/>
    <x v="1"/>
    <x v="2"/>
    <n v="1"/>
    <n v="500"/>
    <n v="500"/>
  </r>
  <r>
    <n v="613"/>
    <d v="2023-04-23T00:00:00"/>
    <x v="612"/>
    <s v="Female"/>
    <n v="52"/>
    <x v="1"/>
    <x v="1"/>
    <n v="3"/>
    <n v="30"/>
    <n v="90"/>
  </r>
  <r>
    <n v="614"/>
    <d v="2023-04-01T00:00:00"/>
    <x v="613"/>
    <s v="Female"/>
    <n v="39"/>
    <x v="0"/>
    <x v="0"/>
    <n v="4"/>
    <n v="300"/>
    <n v="1200"/>
  </r>
  <r>
    <n v="615"/>
    <d v="2023-12-23T00:00:00"/>
    <x v="614"/>
    <s v="Female"/>
    <n v="61"/>
    <x v="1"/>
    <x v="1"/>
    <n v="4"/>
    <n v="25"/>
    <n v="100"/>
  </r>
  <r>
    <n v="616"/>
    <d v="2023-09-23T00:00:00"/>
    <x v="615"/>
    <s v="Male"/>
    <n v="41"/>
    <x v="1"/>
    <x v="1"/>
    <n v="2"/>
    <n v="50"/>
    <n v="100"/>
  </r>
  <r>
    <n v="617"/>
    <d v="2023-08-26T00:00:00"/>
    <x v="616"/>
    <s v="Male"/>
    <n v="34"/>
    <x v="0"/>
    <x v="2"/>
    <n v="1"/>
    <n v="30"/>
    <n v="30"/>
  </r>
  <r>
    <n v="618"/>
    <d v="2023-01-26T00:00:00"/>
    <x v="617"/>
    <s v="Female"/>
    <n v="27"/>
    <x v="0"/>
    <x v="0"/>
    <n v="1"/>
    <n v="50"/>
    <n v="50"/>
  </r>
  <r>
    <n v="619"/>
    <d v="2023-10-13T00:00:00"/>
    <x v="618"/>
    <s v="Male"/>
    <n v="47"/>
    <x v="1"/>
    <x v="2"/>
    <n v="4"/>
    <n v="25"/>
    <n v="100"/>
  </r>
  <r>
    <n v="620"/>
    <d v="2023-05-08T00:00:00"/>
    <x v="619"/>
    <s v="Male"/>
    <n v="63"/>
    <x v="1"/>
    <x v="2"/>
    <n v="3"/>
    <n v="25"/>
    <n v="75"/>
  </r>
  <r>
    <n v="621"/>
    <d v="2023-03-04T00:00:00"/>
    <x v="620"/>
    <s v="Female"/>
    <n v="40"/>
    <x v="0"/>
    <x v="0"/>
    <n v="2"/>
    <n v="500"/>
    <n v="1000"/>
  </r>
  <r>
    <n v="622"/>
    <d v="2023-08-22T00:00:00"/>
    <x v="621"/>
    <s v="Female"/>
    <n v="49"/>
    <x v="1"/>
    <x v="0"/>
    <n v="3"/>
    <n v="25"/>
    <n v="75"/>
  </r>
  <r>
    <n v="623"/>
    <d v="2023-03-10T00:00:00"/>
    <x v="622"/>
    <s v="Male"/>
    <n v="34"/>
    <x v="0"/>
    <x v="1"/>
    <n v="3"/>
    <n v="50"/>
    <n v="150"/>
  </r>
  <r>
    <n v="624"/>
    <d v="2023-08-26T00:00:00"/>
    <x v="623"/>
    <s v="Female"/>
    <n v="34"/>
    <x v="0"/>
    <x v="0"/>
    <n v="3"/>
    <n v="300"/>
    <n v="900"/>
  </r>
  <r>
    <n v="625"/>
    <d v="2023-12-08T00:00:00"/>
    <x v="624"/>
    <s v="Male"/>
    <n v="31"/>
    <x v="0"/>
    <x v="1"/>
    <n v="1"/>
    <n v="300"/>
    <n v="300"/>
  </r>
  <r>
    <n v="626"/>
    <d v="2023-09-29T00:00:00"/>
    <x v="625"/>
    <s v="Female"/>
    <n v="26"/>
    <x v="0"/>
    <x v="1"/>
    <n v="4"/>
    <n v="500"/>
    <n v="2000"/>
  </r>
  <r>
    <n v="627"/>
    <d v="2023-10-14T00:00:00"/>
    <x v="626"/>
    <s v="Male"/>
    <n v="57"/>
    <x v="1"/>
    <x v="1"/>
    <n v="1"/>
    <n v="50"/>
    <n v="50"/>
  </r>
  <r>
    <n v="628"/>
    <d v="2023-11-01T00:00:00"/>
    <x v="627"/>
    <s v="Female"/>
    <n v="19"/>
    <x v="2"/>
    <x v="0"/>
    <n v="4"/>
    <n v="50"/>
    <n v="200"/>
  </r>
  <r>
    <n v="629"/>
    <d v="2023-06-12T00:00:00"/>
    <x v="628"/>
    <s v="Male"/>
    <n v="62"/>
    <x v="1"/>
    <x v="2"/>
    <n v="2"/>
    <n v="25"/>
    <n v="50"/>
  </r>
  <r>
    <n v="630"/>
    <d v="2023-08-15T00:00:00"/>
    <x v="629"/>
    <s v="Male"/>
    <n v="42"/>
    <x v="1"/>
    <x v="1"/>
    <n v="2"/>
    <n v="50"/>
    <n v="100"/>
  </r>
  <r>
    <n v="631"/>
    <d v="2023-11-10T00:00:00"/>
    <x v="630"/>
    <s v="Male"/>
    <n v="56"/>
    <x v="1"/>
    <x v="2"/>
    <n v="3"/>
    <n v="30"/>
    <n v="90"/>
  </r>
  <r>
    <n v="632"/>
    <d v="2023-09-16T00:00:00"/>
    <x v="631"/>
    <s v="Female"/>
    <n v="26"/>
    <x v="0"/>
    <x v="2"/>
    <n v="4"/>
    <n v="25"/>
    <n v="100"/>
  </r>
  <r>
    <n v="633"/>
    <d v="2023-08-07T00:00:00"/>
    <x v="632"/>
    <s v="Male"/>
    <n v="39"/>
    <x v="0"/>
    <x v="0"/>
    <n v="4"/>
    <n v="30"/>
    <n v="120"/>
  </r>
  <r>
    <n v="634"/>
    <d v="2023-10-08T00:00:00"/>
    <x v="633"/>
    <s v="Male"/>
    <n v="60"/>
    <x v="1"/>
    <x v="2"/>
    <n v="4"/>
    <n v="500"/>
    <n v="2000"/>
  </r>
  <r>
    <n v="635"/>
    <d v="2023-08-17T00:00:00"/>
    <x v="634"/>
    <s v="Female"/>
    <n v="63"/>
    <x v="1"/>
    <x v="2"/>
    <n v="3"/>
    <n v="300"/>
    <n v="900"/>
  </r>
  <r>
    <n v="636"/>
    <d v="2023-03-23T00:00:00"/>
    <x v="635"/>
    <s v="Female"/>
    <n v="21"/>
    <x v="2"/>
    <x v="0"/>
    <n v="3"/>
    <n v="500"/>
    <n v="1500"/>
  </r>
  <r>
    <n v="637"/>
    <d v="2023-09-01T00:00:00"/>
    <x v="636"/>
    <s v="Male"/>
    <n v="43"/>
    <x v="1"/>
    <x v="1"/>
    <n v="2"/>
    <n v="300"/>
    <n v="600"/>
  </r>
  <r>
    <n v="638"/>
    <d v="2023-08-19T00:00:00"/>
    <x v="637"/>
    <s v="Male"/>
    <n v="46"/>
    <x v="1"/>
    <x v="2"/>
    <n v="1"/>
    <n v="500"/>
    <n v="500"/>
  </r>
  <r>
    <n v="639"/>
    <d v="2023-05-13T00:00:00"/>
    <x v="638"/>
    <s v="Female"/>
    <n v="62"/>
    <x v="1"/>
    <x v="0"/>
    <n v="4"/>
    <n v="50"/>
    <n v="200"/>
  </r>
  <r>
    <n v="640"/>
    <d v="2023-05-07T00:00:00"/>
    <x v="639"/>
    <s v="Female"/>
    <n v="51"/>
    <x v="1"/>
    <x v="2"/>
    <n v="4"/>
    <n v="30"/>
    <n v="120"/>
  </r>
  <r>
    <n v="641"/>
    <d v="2023-11-23T00:00:00"/>
    <x v="640"/>
    <s v="Female"/>
    <n v="40"/>
    <x v="0"/>
    <x v="2"/>
    <n v="1"/>
    <n v="300"/>
    <n v="300"/>
  </r>
  <r>
    <n v="642"/>
    <d v="2023-05-22T00:00:00"/>
    <x v="641"/>
    <s v="Female"/>
    <n v="54"/>
    <x v="1"/>
    <x v="1"/>
    <n v="4"/>
    <n v="25"/>
    <n v="100"/>
  </r>
  <r>
    <n v="643"/>
    <d v="2023-09-24T00:00:00"/>
    <x v="642"/>
    <s v="Female"/>
    <n v="28"/>
    <x v="0"/>
    <x v="2"/>
    <n v="3"/>
    <n v="30"/>
    <n v="90"/>
  </r>
  <r>
    <n v="644"/>
    <d v="2023-09-06T00:00:00"/>
    <x v="643"/>
    <s v="Male"/>
    <n v="23"/>
    <x v="2"/>
    <x v="0"/>
    <n v="3"/>
    <n v="25"/>
    <n v="75"/>
  </r>
  <r>
    <n v="645"/>
    <d v="2023-11-17T00:00:00"/>
    <x v="644"/>
    <s v="Female"/>
    <n v="35"/>
    <x v="0"/>
    <x v="2"/>
    <n v="4"/>
    <n v="30"/>
    <n v="120"/>
  </r>
  <r>
    <n v="646"/>
    <d v="2023-05-03T00:00:00"/>
    <x v="645"/>
    <s v="Male"/>
    <n v="38"/>
    <x v="0"/>
    <x v="1"/>
    <n v="3"/>
    <n v="30"/>
    <n v="90"/>
  </r>
  <r>
    <n v="647"/>
    <d v="2023-05-21T00:00:00"/>
    <x v="646"/>
    <s v="Male"/>
    <n v="59"/>
    <x v="1"/>
    <x v="1"/>
    <n v="3"/>
    <n v="500"/>
    <n v="1500"/>
  </r>
  <r>
    <n v="648"/>
    <d v="2023-08-14T00:00:00"/>
    <x v="647"/>
    <s v="Male"/>
    <n v="53"/>
    <x v="1"/>
    <x v="0"/>
    <n v="4"/>
    <n v="300"/>
    <n v="1200"/>
  </r>
  <r>
    <n v="649"/>
    <d v="2023-02-09T00:00:00"/>
    <x v="648"/>
    <s v="Female"/>
    <n v="58"/>
    <x v="1"/>
    <x v="1"/>
    <n v="2"/>
    <n v="300"/>
    <n v="600"/>
  </r>
  <r>
    <n v="650"/>
    <d v="2024-01-01T00:00:00"/>
    <x v="649"/>
    <s v="Male"/>
    <n v="55"/>
    <x v="1"/>
    <x v="2"/>
    <n v="1"/>
    <n v="30"/>
    <n v="30"/>
  </r>
  <r>
    <n v="651"/>
    <d v="2023-05-27T00:00:00"/>
    <x v="650"/>
    <s v="Male"/>
    <n v="51"/>
    <x v="1"/>
    <x v="1"/>
    <n v="3"/>
    <n v="50"/>
    <n v="150"/>
  </r>
  <r>
    <n v="652"/>
    <d v="2023-05-01T00:00:00"/>
    <x v="651"/>
    <s v="Female"/>
    <n v="34"/>
    <x v="0"/>
    <x v="0"/>
    <n v="2"/>
    <n v="50"/>
    <n v="100"/>
  </r>
  <r>
    <n v="653"/>
    <d v="2023-05-20T00:00:00"/>
    <x v="652"/>
    <s v="Male"/>
    <n v="54"/>
    <x v="1"/>
    <x v="1"/>
    <n v="3"/>
    <n v="25"/>
    <n v="75"/>
  </r>
  <r>
    <n v="654"/>
    <d v="2023-06-21T00:00:00"/>
    <x v="653"/>
    <s v="Male"/>
    <n v="42"/>
    <x v="1"/>
    <x v="1"/>
    <n v="3"/>
    <n v="25"/>
    <n v="75"/>
  </r>
  <r>
    <n v="655"/>
    <d v="2023-06-13T00:00:00"/>
    <x v="654"/>
    <s v="Female"/>
    <n v="55"/>
    <x v="1"/>
    <x v="1"/>
    <n v="1"/>
    <n v="500"/>
    <n v="500"/>
  </r>
  <r>
    <n v="656"/>
    <d v="2023-10-04T00:00:00"/>
    <x v="655"/>
    <s v="Male"/>
    <n v="29"/>
    <x v="0"/>
    <x v="0"/>
    <n v="3"/>
    <n v="30"/>
    <n v="90"/>
  </r>
  <r>
    <n v="657"/>
    <d v="2023-02-11T00:00:00"/>
    <x v="656"/>
    <s v="Male"/>
    <n v="40"/>
    <x v="0"/>
    <x v="1"/>
    <n v="1"/>
    <n v="25"/>
    <n v="25"/>
  </r>
  <r>
    <n v="658"/>
    <d v="2023-03-12T00:00:00"/>
    <x v="657"/>
    <s v="Male"/>
    <n v="59"/>
    <x v="1"/>
    <x v="1"/>
    <n v="1"/>
    <n v="25"/>
    <n v="25"/>
  </r>
  <r>
    <n v="659"/>
    <d v="2023-03-19T00:00:00"/>
    <x v="658"/>
    <s v="Female"/>
    <n v="39"/>
    <x v="0"/>
    <x v="2"/>
    <n v="1"/>
    <n v="30"/>
    <n v="30"/>
  </r>
  <r>
    <n v="660"/>
    <d v="2023-04-29T00:00:00"/>
    <x v="659"/>
    <s v="Female"/>
    <n v="38"/>
    <x v="0"/>
    <x v="0"/>
    <n v="2"/>
    <n v="500"/>
    <n v="1000"/>
  </r>
  <r>
    <n v="661"/>
    <d v="2023-07-16T00:00:00"/>
    <x v="660"/>
    <s v="Female"/>
    <n v="44"/>
    <x v="1"/>
    <x v="1"/>
    <n v="4"/>
    <n v="25"/>
    <n v="100"/>
  </r>
  <r>
    <n v="662"/>
    <d v="2023-12-22T00:00:00"/>
    <x v="661"/>
    <s v="Male"/>
    <n v="48"/>
    <x v="1"/>
    <x v="0"/>
    <n v="2"/>
    <n v="500"/>
    <n v="1000"/>
  </r>
  <r>
    <n v="663"/>
    <d v="2023-03-20T00:00:00"/>
    <x v="662"/>
    <s v="Male"/>
    <n v="23"/>
    <x v="2"/>
    <x v="1"/>
    <n v="4"/>
    <n v="300"/>
    <n v="1200"/>
  </r>
  <r>
    <n v="664"/>
    <d v="2023-12-28T00:00:00"/>
    <x v="663"/>
    <s v="Female"/>
    <n v="44"/>
    <x v="1"/>
    <x v="1"/>
    <n v="4"/>
    <n v="500"/>
    <n v="2000"/>
  </r>
  <r>
    <n v="665"/>
    <d v="2023-04-20T00:00:00"/>
    <x v="664"/>
    <s v="Male"/>
    <n v="57"/>
    <x v="1"/>
    <x v="1"/>
    <n v="1"/>
    <n v="50"/>
    <n v="50"/>
  </r>
  <r>
    <n v="666"/>
    <d v="2023-02-02T00:00:00"/>
    <x v="665"/>
    <s v="Male"/>
    <n v="51"/>
    <x v="1"/>
    <x v="2"/>
    <n v="3"/>
    <n v="50"/>
    <n v="150"/>
  </r>
  <r>
    <n v="667"/>
    <d v="2023-08-01T00:00:00"/>
    <x v="666"/>
    <s v="Female"/>
    <n v="29"/>
    <x v="0"/>
    <x v="2"/>
    <n v="1"/>
    <n v="500"/>
    <n v="500"/>
  </r>
  <r>
    <n v="668"/>
    <d v="2023-07-28T00:00:00"/>
    <x v="667"/>
    <s v="Female"/>
    <n v="62"/>
    <x v="1"/>
    <x v="2"/>
    <n v="3"/>
    <n v="50"/>
    <n v="150"/>
  </r>
  <r>
    <n v="669"/>
    <d v="2023-06-19T00:00:00"/>
    <x v="668"/>
    <s v="Male"/>
    <n v="24"/>
    <x v="2"/>
    <x v="0"/>
    <n v="4"/>
    <n v="300"/>
    <n v="1200"/>
  </r>
  <r>
    <n v="670"/>
    <d v="2023-10-05T00:00:00"/>
    <x v="669"/>
    <s v="Male"/>
    <n v="27"/>
    <x v="0"/>
    <x v="0"/>
    <n v="1"/>
    <n v="30"/>
    <n v="30"/>
  </r>
  <r>
    <n v="671"/>
    <d v="2023-08-27T00:00:00"/>
    <x v="670"/>
    <s v="Male"/>
    <n v="62"/>
    <x v="1"/>
    <x v="2"/>
    <n v="3"/>
    <n v="50"/>
    <n v="150"/>
  </r>
  <r>
    <n v="672"/>
    <d v="2023-08-01T00:00:00"/>
    <x v="671"/>
    <s v="Female"/>
    <n v="34"/>
    <x v="0"/>
    <x v="0"/>
    <n v="2"/>
    <n v="50"/>
    <n v="100"/>
  </r>
  <r>
    <n v="673"/>
    <d v="2023-02-01T00:00:00"/>
    <x v="672"/>
    <s v="Female"/>
    <n v="43"/>
    <x v="1"/>
    <x v="1"/>
    <n v="3"/>
    <n v="500"/>
    <n v="1500"/>
  </r>
  <r>
    <n v="674"/>
    <d v="2023-04-16T00:00:00"/>
    <x v="673"/>
    <s v="Female"/>
    <n v="38"/>
    <x v="0"/>
    <x v="1"/>
    <n v="1"/>
    <n v="300"/>
    <n v="300"/>
  </r>
  <r>
    <n v="675"/>
    <d v="2023-08-04T00:00:00"/>
    <x v="674"/>
    <s v="Female"/>
    <n v="45"/>
    <x v="1"/>
    <x v="1"/>
    <n v="2"/>
    <n v="30"/>
    <n v="60"/>
  </r>
  <r>
    <n v="676"/>
    <d v="2023-07-19T00:00:00"/>
    <x v="675"/>
    <s v="Male"/>
    <n v="63"/>
    <x v="1"/>
    <x v="2"/>
    <n v="3"/>
    <n v="500"/>
    <n v="1500"/>
  </r>
  <r>
    <n v="677"/>
    <d v="2023-10-27T00:00:00"/>
    <x v="676"/>
    <s v="Female"/>
    <n v="19"/>
    <x v="2"/>
    <x v="0"/>
    <n v="3"/>
    <n v="500"/>
    <n v="1500"/>
  </r>
  <r>
    <n v="678"/>
    <d v="2023-12-23T00:00:00"/>
    <x v="677"/>
    <s v="Female"/>
    <n v="60"/>
    <x v="1"/>
    <x v="2"/>
    <n v="3"/>
    <n v="300"/>
    <n v="900"/>
  </r>
  <r>
    <n v="679"/>
    <d v="2023-01-11T00:00:00"/>
    <x v="678"/>
    <s v="Female"/>
    <n v="18"/>
    <x v="2"/>
    <x v="0"/>
    <n v="3"/>
    <n v="30"/>
    <n v="90"/>
  </r>
  <r>
    <n v="680"/>
    <d v="2023-10-22T00:00:00"/>
    <x v="679"/>
    <s v="Female"/>
    <n v="53"/>
    <x v="1"/>
    <x v="1"/>
    <n v="3"/>
    <n v="300"/>
    <n v="900"/>
  </r>
  <r>
    <n v="681"/>
    <d v="2023-07-14T00:00:00"/>
    <x v="680"/>
    <s v="Female"/>
    <n v="43"/>
    <x v="1"/>
    <x v="2"/>
    <n v="2"/>
    <n v="30"/>
    <n v="60"/>
  </r>
  <r>
    <n v="682"/>
    <d v="2023-09-02T00:00:00"/>
    <x v="681"/>
    <s v="Male"/>
    <n v="46"/>
    <x v="1"/>
    <x v="0"/>
    <n v="4"/>
    <n v="300"/>
    <n v="1200"/>
  </r>
  <r>
    <n v="683"/>
    <d v="2023-01-04T00:00:00"/>
    <x v="682"/>
    <s v="Male"/>
    <n v="38"/>
    <x v="0"/>
    <x v="0"/>
    <n v="2"/>
    <n v="500"/>
    <n v="1000"/>
  </r>
  <r>
    <n v="684"/>
    <d v="2023-06-30T00:00:00"/>
    <x v="683"/>
    <s v="Female"/>
    <n v="28"/>
    <x v="0"/>
    <x v="1"/>
    <n v="2"/>
    <n v="500"/>
    <n v="1000"/>
  </r>
  <r>
    <n v="685"/>
    <d v="2023-06-02T00:00:00"/>
    <x v="684"/>
    <s v="Male"/>
    <n v="57"/>
    <x v="1"/>
    <x v="2"/>
    <n v="2"/>
    <n v="25"/>
    <n v="50"/>
  </r>
  <r>
    <n v="686"/>
    <d v="2023-07-19T00:00:00"/>
    <x v="685"/>
    <s v="Female"/>
    <n v="28"/>
    <x v="0"/>
    <x v="2"/>
    <n v="4"/>
    <n v="50"/>
    <n v="200"/>
  </r>
  <r>
    <n v="687"/>
    <d v="2023-08-03T00:00:00"/>
    <x v="686"/>
    <s v="Female"/>
    <n v="53"/>
    <x v="1"/>
    <x v="2"/>
    <n v="1"/>
    <n v="300"/>
    <n v="300"/>
  </r>
  <r>
    <n v="688"/>
    <d v="2023-10-03T00:00:00"/>
    <x v="687"/>
    <s v="Male"/>
    <n v="56"/>
    <x v="1"/>
    <x v="1"/>
    <n v="4"/>
    <n v="25"/>
    <n v="100"/>
  </r>
  <r>
    <n v="689"/>
    <d v="2023-10-07T00:00:00"/>
    <x v="688"/>
    <s v="Male"/>
    <n v="57"/>
    <x v="1"/>
    <x v="2"/>
    <n v="2"/>
    <n v="50"/>
    <n v="100"/>
  </r>
  <r>
    <n v="690"/>
    <d v="2023-11-05T00:00:00"/>
    <x v="689"/>
    <s v="Female"/>
    <n v="52"/>
    <x v="1"/>
    <x v="1"/>
    <n v="3"/>
    <n v="300"/>
    <n v="900"/>
  </r>
  <r>
    <n v="691"/>
    <d v="2023-04-23T00:00:00"/>
    <x v="690"/>
    <s v="Female"/>
    <n v="51"/>
    <x v="1"/>
    <x v="1"/>
    <n v="3"/>
    <n v="30"/>
    <n v="90"/>
  </r>
  <r>
    <n v="692"/>
    <d v="2023-09-07T00:00:00"/>
    <x v="691"/>
    <s v="Female"/>
    <n v="64"/>
    <x v="1"/>
    <x v="1"/>
    <n v="2"/>
    <n v="50"/>
    <n v="100"/>
  </r>
  <r>
    <n v="693"/>
    <d v="2023-04-23T00:00:00"/>
    <x v="692"/>
    <s v="Male"/>
    <n v="41"/>
    <x v="1"/>
    <x v="0"/>
    <n v="3"/>
    <n v="500"/>
    <n v="1500"/>
  </r>
  <r>
    <n v="694"/>
    <d v="2023-05-20T00:00:00"/>
    <x v="693"/>
    <s v="Female"/>
    <n v="39"/>
    <x v="0"/>
    <x v="2"/>
    <n v="2"/>
    <n v="25"/>
    <n v="50"/>
  </r>
  <r>
    <n v="695"/>
    <d v="2023-08-12T00:00:00"/>
    <x v="694"/>
    <s v="Female"/>
    <n v="22"/>
    <x v="2"/>
    <x v="2"/>
    <n v="3"/>
    <n v="50"/>
    <n v="150"/>
  </r>
  <r>
    <n v="696"/>
    <d v="2023-09-06T00:00:00"/>
    <x v="695"/>
    <s v="Female"/>
    <n v="50"/>
    <x v="1"/>
    <x v="1"/>
    <n v="4"/>
    <n v="50"/>
    <n v="200"/>
  </r>
  <r>
    <n v="697"/>
    <d v="2023-01-15T00:00:00"/>
    <x v="696"/>
    <s v="Male"/>
    <n v="53"/>
    <x v="1"/>
    <x v="1"/>
    <n v="1"/>
    <n v="500"/>
    <n v="500"/>
  </r>
  <r>
    <n v="698"/>
    <d v="2023-07-19T00:00:00"/>
    <x v="697"/>
    <s v="Female"/>
    <n v="64"/>
    <x v="1"/>
    <x v="2"/>
    <n v="1"/>
    <n v="300"/>
    <n v="300"/>
  </r>
  <r>
    <n v="699"/>
    <d v="2023-06-22T00:00:00"/>
    <x v="698"/>
    <s v="Female"/>
    <n v="37"/>
    <x v="0"/>
    <x v="1"/>
    <n v="4"/>
    <n v="30"/>
    <n v="120"/>
  </r>
  <r>
    <n v="700"/>
    <d v="2023-12-09T00:00:00"/>
    <x v="699"/>
    <s v="Male"/>
    <n v="36"/>
    <x v="0"/>
    <x v="2"/>
    <n v="4"/>
    <n v="500"/>
    <n v="2000"/>
  </r>
  <r>
    <n v="701"/>
    <d v="2023-12-14T00:00:00"/>
    <x v="700"/>
    <s v="Female"/>
    <n v="52"/>
    <x v="1"/>
    <x v="0"/>
    <n v="2"/>
    <n v="30"/>
    <n v="60"/>
  </r>
  <r>
    <n v="702"/>
    <d v="2023-07-27T00:00:00"/>
    <x v="701"/>
    <s v="Female"/>
    <n v="60"/>
    <x v="1"/>
    <x v="1"/>
    <n v="2"/>
    <n v="300"/>
    <n v="600"/>
  </r>
  <r>
    <n v="703"/>
    <d v="2023-03-26T00:00:00"/>
    <x v="702"/>
    <s v="Male"/>
    <n v="34"/>
    <x v="0"/>
    <x v="2"/>
    <n v="2"/>
    <n v="50"/>
    <n v="100"/>
  </r>
  <r>
    <n v="704"/>
    <d v="2023-08-28T00:00:00"/>
    <x v="703"/>
    <s v="Female"/>
    <n v="62"/>
    <x v="1"/>
    <x v="1"/>
    <n v="3"/>
    <n v="30"/>
    <n v="90"/>
  </r>
  <r>
    <n v="705"/>
    <d v="2023-03-07T00:00:00"/>
    <x v="704"/>
    <s v="Male"/>
    <n v="60"/>
    <x v="1"/>
    <x v="2"/>
    <n v="2"/>
    <n v="25"/>
    <n v="50"/>
  </r>
  <r>
    <n v="706"/>
    <d v="2023-11-15T00:00:00"/>
    <x v="705"/>
    <s v="Male"/>
    <n v="51"/>
    <x v="1"/>
    <x v="2"/>
    <n v="4"/>
    <n v="25"/>
    <n v="100"/>
  </r>
  <r>
    <n v="707"/>
    <d v="2023-10-01T00:00:00"/>
    <x v="706"/>
    <s v="Female"/>
    <n v="26"/>
    <x v="0"/>
    <x v="1"/>
    <n v="1"/>
    <n v="500"/>
    <n v="500"/>
  </r>
  <r>
    <n v="708"/>
    <d v="2023-01-14T00:00:00"/>
    <x v="707"/>
    <s v="Female"/>
    <n v="43"/>
    <x v="1"/>
    <x v="0"/>
    <n v="3"/>
    <n v="300"/>
    <n v="900"/>
  </r>
  <r>
    <n v="709"/>
    <d v="2023-07-21T00:00:00"/>
    <x v="708"/>
    <s v="Female"/>
    <n v="19"/>
    <x v="2"/>
    <x v="2"/>
    <n v="2"/>
    <n v="500"/>
    <n v="1000"/>
  </r>
  <r>
    <n v="710"/>
    <d v="2023-10-31T00:00:00"/>
    <x v="709"/>
    <s v="Female"/>
    <n v="26"/>
    <x v="0"/>
    <x v="2"/>
    <n v="3"/>
    <n v="500"/>
    <n v="1500"/>
  </r>
  <r>
    <n v="711"/>
    <d v="2023-10-16T00:00:00"/>
    <x v="710"/>
    <s v="Male"/>
    <n v="26"/>
    <x v="0"/>
    <x v="2"/>
    <n v="3"/>
    <n v="500"/>
    <n v="1500"/>
  </r>
  <r>
    <n v="712"/>
    <d v="2023-12-06T00:00:00"/>
    <x v="711"/>
    <s v="Female"/>
    <n v="57"/>
    <x v="1"/>
    <x v="0"/>
    <n v="2"/>
    <n v="25"/>
    <n v="50"/>
  </r>
  <r>
    <n v="713"/>
    <d v="2023-01-14T00:00:00"/>
    <x v="712"/>
    <s v="Male"/>
    <n v="34"/>
    <x v="0"/>
    <x v="0"/>
    <n v="3"/>
    <n v="25"/>
    <n v="75"/>
  </r>
  <r>
    <n v="714"/>
    <d v="2023-02-12T00:00:00"/>
    <x v="713"/>
    <s v="Female"/>
    <n v="18"/>
    <x v="2"/>
    <x v="1"/>
    <n v="1"/>
    <n v="500"/>
    <n v="500"/>
  </r>
  <r>
    <n v="715"/>
    <d v="2023-11-26T00:00:00"/>
    <x v="714"/>
    <s v="Female"/>
    <n v="42"/>
    <x v="1"/>
    <x v="0"/>
    <n v="4"/>
    <n v="25"/>
    <n v="100"/>
  </r>
  <r>
    <n v="716"/>
    <d v="2023-08-08T00:00:00"/>
    <x v="715"/>
    <s v="Female"/>
    <n v="60"/>
    <x v="1"/>
    <x v="1"/>
    <n v="4"/>
    <n v="300"/>
    <n v="1200"/>
  </r>
  <r>
    <n v="717"/>
    <d v="2023-03-11T00:00:00"/>
    <x v="716"/>
    <s v="Male"/>
    <n v="57"/>
    <x v="1"/>
    <x v="1"/>
    <n v="1"/>
    <n v="500"/>
    <n v="500"/>
  </r>
  <r>
    <n v="718"/>
    <d v="2023-08-25T00:00:00"/>
    <x v="717"/>
    <s v="Female"/>
    <n v="59"/>
    <x v="1"/>
    <x v="0"/>
    <n v="3"/>
    <n v="25"/>
    <n v="75"/>
  </r>
  <r>
    <n v="719"/>
    <d v="2023-04-04T00:00:00"/>
    <x v="718"/>
    <s v="Female"/>
    <n v="42"/>
    <x v="1"/>
    <x v="1"/>
    <n v="2"/>
    <n v="30"/>
    <n v="60"/>
  </r>
  <r>
    <n v="720"/>
    <d v="2023-01-26T00:00:00"/>
    <x v="719"/>
    <s v="Female"/>
    <n v="56"/>
    <x v="1"/>
    <x v="0"/>
    <n v="3"/>
    <n v="500"/>
    <n v="1500"/>
  </r>
  <r>
    <n v="721"/>
    <d v="2023-05-14T00:00:00"/>
    <x v="720"/>
    <s v="Female"/>
    <n v="52"/>
    <x v="1"/>
    <x v="1"/>
    <n v="1"/>
    <n v="500"/>
    <n v="500"/>
  </r>
  <r>
    <n v="722"/>
    <d v="2023-07-14T00:00:00"/>
    <x v="721"/>
    <s v="Male"/>
    <n v="20"/>
    <x v="2"/>
    <x v="0"/>
    <n v="3"/>
    <n v="300"/>
    <n v="900"/>
  </r>
  <r>
    <n v="723"/>
    <d v="2023-06-17T00:00:00"/>
    <x v="722"/>
    <s v="Female"/>
    <n v="54"/>
    <x v="1"/>
    <x v="0"/>
    <n v="4"/>
    <n v="50"/>
    <n v="200"/>
  </r>
  <r>
    <n v="724"/>
    <d v="2023-04-19T00:00:00"/>
    <x v="723"/>
    <s v="Male"/>
    <n v="61"/>
    <x v="1"/>
    <x v="1"/>
    <n v="3"/>
    <n v="50"/>
    <n v="150"/>
  </r>
  <r>
    <n v="725"/>
    <d v="2023-08-21T00:00:00"/>
    <x v="724"/>
    <s v="Male"/>
    <n v="61"/>
    <x v="1"/>
    <x v="2"/>
    <n v="1"/>
    <n v="300"/>
    <n v="300"/>
  </r>
  <r>
    <n v="726"/>
    <d v="2023-06-17T00:00:00"/>
    <x v="725"/>
    <s v="Male"/>
    <n v="47"/>
    <x v="1"/>
    <x v="1"/>
    <n v="4"/>
    <n v="300"/>
    <n v="1200"/>
  </r>
  <r>
    <n v="727"/>
    <d v="2023-06-22T00:00:00"/>
    <x v="726"/>
    <s v="Male"/>
    <n v="55"/>
    <x v="1"/>
    <x v="0"/>
    <n v="3"/>
    <n v="300"/>
    <n v="900"/>
  </r>
  <r>
    <n v="728"/>
    <d v="2023-07-14T00:00:00"/>
    <x v="727"/>
    <s v="Male"/>
    <n v="51"/>
    <x v="1"/>
    <x v="2"/>
    <n v="3"/>
    <n v="50"/>
    <n v="150"/>
  </r>
  <r>
    <n v="729"/>
    <d v="2023-05-23T00:00:00"/>
    <x v="728"/>
    <s v="Male"/>
    <n v="29"/>
    <x v="0"/>
    <x v="1"/>
    <n v="4"/>
    <n v="300"/>
    <n v="1200"/>
  </r>
  <r>
    <n v="730"/>
    <d v="2023-08-04T00:00:00"/>
    <x v="729"/>
    <s v="Female"/>
    <n v="36"/>
    <x v="0"/>
    <x v="1"/>
    <n v="2"/>
    <n v="25"/>
    <n v="50"/>
  </r>
  <r>
    <n v="731"/>
    <d v="2023-05-10T00:00:00"/>
    <x v="730"/>
    <s v="Male"/>
    <n v="54"/>
    <x v="1"/>
    <x v="1"/>
    <n v="4"/>
    <n v="500"/>
    <n v="2000"/>
  </r>
  <r>
    <n v="732"/>
    <d v="2023-02-11T00:00:00"/>
    <x v="731"/>
    <s v="Male"/>
    <n v="61"/>
    <x v="1"/>
    <x v="2"/>
    <n v="2"/>
    <n v="500"/>
    <n v="1000"/>
  </r>
  <r>
    <n v="733"/>
    <d v="2023-08-29T00:00:00"/>
    <x v="732"/>
    <s v="Male"/>
    <n v="34"/>
    <x v="0"/>
    <x v="0"/>
    <n v="1"/>
    <n v="30"/>
    <n v="30"/>
  </r>
  <r>
    <n v="734"/>
    <d v="2023-01-10T00:00:00"/>
    <x v="733"/>
    <s v="Female"/>
    <n v="27"/>
    <x v="0"/>
    <x v="1"/>
    <n v="1"/>
    <n v="30"/>
    <n v="30"/>
  </r>
  <r>
    <n v="735"/>
    <d v="2023-10-04T00:00:00"/>
    <x v="734"/>
    <s v="Female"/>
    <n v="64"/>
    <x v="1"/>
    <x v="1"/>
    <n v="4"/>
    <n v="500"/>
    <n v="2000"/>
  </r>
  <r>
    <n v="736"/>
    <d v="2023-01-27T00:00:00"/>
    <x v="735"/>
    <s v="Male"/>
    <n v="29"/>
    <x v="0"/>
    <x v="1"/>
    <n v="4"/>
    <n v="25"/>
    <n v="100"/>
  </r>
  <r>
    <n v="737"/>
    <d v="2023-06-29T00:00:00"/>
    <x v="736"/>
    <s v="Female"/>
    <n v="33"/>
    <x v="0"/>
    <x v="1"/>
    <n v="1"/>
    <n v="50"/>
    <n v="50"/>
  </r>
  <r>
    <n v="738"/>
    <d v="2023-04-25T00:00:00"/>
    <x v="737"/>
    <s v="Male"/>
    <n v="41"/>
    <x v="1"/>
    <x v="1"/>
    <n v="2"/>
    <n v="50"/>
    <n v="100"/>
  </r>
  <r>
    <n v="739"/>
    <d v="2023-11-29T00:00:00"/>
    <x v="738"/>
    <s v="Male"/>
    <n v="36"/>
    <x v="0"/>
    <x v="0"/>
    <n v="1"/>
    <n v="25"/>
    <n v="25"/>
  </r>
  <r>
    <n v="740"/>
    <d v="2023-02-05T00:00:00"/>
    <x v="739"/>
    <s v="Female"/>
    <n v="25"/>
    <x v="0"/>
    <x v="0"/>
    <n v="4"/>
    <n v="50"/>
    <n v="200"/>
  </r>
  <r>
    <n v="741"/>
    <d v="2023-11-30T00:00:00"/>
    <x v="740"/>
    <s v="Male"/>
    <n v="48"/>
    <x v="1"/>
    <x v="1"/>
    <n v="1"/>
    <n v="300"/>
    <n v="300"/>
  </r>
  <r>
    <n v="742"/>
    <d v="2023-01-21T00:00:00"/>
    <x v="741"/>
    <s v="Female"/>
    <n v="38"/>
    <x v="0"/>
    <x v="2"/>
    <n v="4"/>
    <n v="500"/>
    <n v="2000"/>
  </r>
  <r>
    <n v="743"/>
    <d v="2023-01-16T00:00:00"/>
    <x v="742"/>
    <s v="Female"/>
    <n v="34"/>
    <x v="0"/>
    <x v="0"/>
    <n v="4"/>
    <n v="500"/>
    <n v="2000"/>
  </r>
  <r>
    <n v="744"/>
    <d v="2023-05-07T00:00:00"/>
    <x v="743"/>
    <s v="Male"/>
    <n v="40"/>
    <x v="0"/>
    <x v="2"/>
    <n v="1"/>
    <n v="25"/>
    <n v="25"/>
  </r>
  <r>
    <n v="745"/>
    <d v="2023-04-13T00:00:00"/>
    <x v="744"/>
    <s v="Male"/>
    <n v="54"/>
    <x v="1"/>
    <x v="0"/>
    <n v="2"/>
    <n v="50"/>
    <n v="100"/>
  </r>
  <r>
    <n v="746"/>
    <d v="2023-01-11T00:00:00"/>
    <x v="745"/>
    <s v="Female"/>
    <n v="33"/>
    <x v="0"/>
    <x v="1"/>
    <n v="3"/>
    <n v="30"/>
    <n v="90"/>
  </r>
  <r>
    <n v="747"/>
    <d v="2023-11-15T00:00:00"/>
    <x v="746"/>
    <s v="Male"/>
    <n v="23"/>
    <x v="2"/>
    <x v="0"/>
    <n v="1"/>
    <n v="30"/>
    <n v="30"/>
  </r>
  <r>
    <n v="748"/>
    <d v="2023-03-20T00:00:00"/>
    <x v="747"/>
    <s v="Male"/>
    <n v="25"/>
    <x v="0"/>
    <x v="1"/>
    <n v="3"/>
    <n v="50"/>
    <n v="150"/>
  </r>
  <r>
    <n v="749"/>
    <d v="2023-05-03T00:00:00"/>
    <x v="748"/>
    <s v="Male"/>
    <n v="42"/>
    <x v="1"/>
    <x v="0"/>
    <n v="1"/>
    <n v="30"/>
    <n v="30"/>
  </r>
  <r>
    <n v="750"/>
    <d v="2023-03-06T00:00:00"/>
    <x v="749"/>
    <s v="Female"/>
    <n v="35"/>
    <x v="0"/>
    <x v="1"/>
    <n v="3"/>
    <n v="25"/>
    <n v="75"/>
  </r>
  <r>
    <n v="751"/>
    <d v="2023-08-31T00:00:00"/>
    <x v="750"/>
    <s v="Female"/>
    <n v="42"/>
    <x v="1"/>
    <x v="1"/>
    <n v="2"/>
    <n v="25"/>
    <n v="50"/>
  </r>
  <r>
    <n v="752"/>
    <d v="2023-12-09T00:00:00"/>
    <x v="751"/>
    <s v="Male"/>
    <n v="29"/>
    <x v="0"/>
    <x v="1"/>
    <n v="2"/>
    <n v="50"/>
    <n v="100"/>
  </r>
  <r>
    <n v="753"/>
    <d v="2023-02-28T00:00:00"/>
    <x v="752"/>
    <s v="Female"/>
    <n v="32"/>
    <x v="0"/>
    <x v="1"/>
    <n v="1"/>
    <n v="30"/>
    <n v="30"/>
  </r>
  <r>
    <n v="754"/>
    <d v="2023-10-16T00:00:00"/>
    <x v="753"/>
    <s v="Female"/>
    <n v="43"/>
    <x v="1"/>
    <x v="2"/>
    <n v="4"/>
    <n v="25"/>
    <n v="100"/>
  </r>
  <r>
    <n v="755"/>
    <d v="2023-04-22T00:00:00"/>
    <x v="754"/>
    <s v="Female"/>
    <n v="58"/>
    <x v="1"/>
    <x v="1"/>
    <n v="3"/>
    <n v="25"/>
    <n v="75"/>
  </r>
  <r>
    <n v="756"/>
    <d v="2023-08-27T00:00:00"/>
    <x v="755"/>
    <s v="Female"/>
    <n v="62"/>
    <x v="1"/>
    <x v="2"/>
    <n v="4"/>
    <n v="300"/>
    <n v="1200"/>
  </r>
  <r>
    <n v="757"/>
    <d v="2023-12-25T00:00:00"/>
    <x v="756"/>
    <s v="Female"/>
    <n v="43"/>
    <x v="1"/>
    <x v="2"/>
    <n v="4"/>
    <n v="300"/>
    <n v="1200"/>
  </r>
  <r>
    <n v="758"/>
    <d v="2023-05-12T00:00:00"/>
    <x v="757"/>
    <s v="Male"/>
    <n v="64"/>
    <x v="1"/>
    <x v="1"/>
    <n v="4"/>
    <n v="25"/>
    <n v="100"/>
  </r>
  <r>
    <n v="759"/>
    <d v="2023-07-08T00:00:00"/>
    <x v="758"/>
    <s v="Male"/>
    <n v="49"/>
    <x v="1"/>
    <x v="2"/>
    <n v="2"/>
    <n v="50"/>
    <n v="100"/>
  </r>
  <r>
    <n v="760"/>
    <d v="2023-03-27T00:00:00"/>
    <x v="759"/>
    <s v="Male"/>
    <n v="27"/>
    <x v="0"/>
    <x v="0"/>
    <n v="1"/>
    <n v="500"/>
    <n v="500"/>
  </r>
  <r>
    <n v="761"/>
    <d v="2023-11-07T00:00:00"/>
    <x v="760"/>
    <s v="Female"/>
    <n v="33"/>
    <x v="0"/>
    <x v="1"/>
    <n v="1"/>
    <n v="500"/>
    <n v="500"/>
  </r>
  <r>
    <n v="762"/>
    <d v="2023-11-07T00:00:00"/>
    <x v="761"/>
    <s v="Female"/>
    <n v="24"/>
    <x v="2"/>
    <x v="2"/>
    <n v="2"/>
    <n v="25"/>
    <n v="50"/>
  </r>
  <r>
    <n v="763"/>
    <d v="2023-02-28T00:00:00"/>
    <x v="762"/>
    <s v="Male"/>
    <n v="34"/>
    <x v="0"/>
    <x v="1"/>
    <n v="2"/>
    <n v="25"/>
    <n v="50"/>
  </r>
  <r>
    <n v="764"/>
    <d v="2023-03-25T00:00:00"/>
    <x v="763"/>
    <s v="Female"/>
    <n v="40"/>
    <x v="0"/>
    <x v="1"/>
    <n v="1"/>
    <n v="25"/>
    <n v="25"/>
  </r>
  <r>
    <n v="765"/>
    <d v="2023-06-09T00:00:00"/>
    <x v="764"/>
    <s v="Male"/>
    <n v="43"/>
    <x v="1"/>
    <x v="1"/>
    <n v="4"/>
    <n v="50"/>
    <n v="200"/>
  </r>
  <r>
    <n v="766"/>
    <d v="2023-02-25T00:00:00"/>
    <x v="765"/>
    <s v="Male"/>
    <n v="38"/>
    <x v="0"/>
    <x v="2"/>
    <n v="3"/>
    <n v="300"/>
    <n v="900"/>
  </r>
  <r>
    <n v="767"/>
    <d v="2023-10-24T00:00:00"/>
    <x v="766"/>
    <s v="Male"/>
    <n v="39"/>
    <x v="0"/>
    <x v="0"/>
    <n v="3"/>
    <n v="25"/>
    <n v="75"/>
  </r>
  <r>
    <n v="768"/>
    <d v="2023-01-14T00:00:00"/>
    <x v="767"/>
    <s v="Female"/>
    <n v="24"/>
    <x v="2"/>
    <x v="0"/>
    <n v="3"/>
    <n v="25"/>
    <n v="75"/>
  </r>
  <r>
    <n v="769"/>
    <d v="2023-06-09T00:00:00"/>
    <x v="768"/>
    <s v="Female"/>
    <n v="31"/>
    <x v="0"/>
    <x v="2"/>
    <n v="4"/>
    <n v="30"/>
    <n v="120"/>
  </r>
  <r>
    <n v="770"/>
    <d v="2023-10-22T00:00:00"/>
    <x v="769"/>
    <s v="Male"/>
    <n v="32"/>
    <x v="0"/>
    <x v="1"/>
    <n v="1"/>
    <n v="50"/>
    <n v="50"/>
  </r>
  <r>
    <n v="771"/>
    <d v="2023-12-13T00:00:00"/>
    <x v="770"/>
    <s v="Male"/>
    <n v="24"/>
    <x v="2"/>
    <x v="2"/>
    <n v="2"/>
    <n v="25"/>
    <n v="50"/>
  </r>
  <r>
    <n v="772"/>
    <d v="2023-07-12T00:00:00"/>
    <x v="771"/>
    <s v="Male"/>
    <n v="26"/>
    <x v="0"/>
    <x v="2"/>
    <n v="1"/>
    <n v="30"/>
    <n v="30"/>
  </r>
  <r>
    <n v="773"/>
    <d v="2023-07-23T00:00:00"/>
    <x v="772"/>
    <s v="Male"/>
    <n v="25"/>
    <x v="0"/>
    <x v="2"/>
    <n v="4"/>
    <n v="500"/>
    <n v="2000"/>
  </r>
  <r>
    <n v="774"/>
    <d v="2023-04-12T00:00:00"/>
    <x v="773"/>
    <s v="Female"/>
    <n v="40"/>
    <x v="0"/>
    <x v="1"/>
    <n v="2"/>
    <n v="25"/>
    <n v="50"/>
  </r>
  <r>
    <n v="775"/>
    <d v="2023-02-08T00:00:00"/>
    <x v="774"/>
    <s v="Female"/>
    <n v="46"/>
    <x v="1"/>
    <x v="2"/>
    <n v="4"/>
    <n v="25"/>
    <n v="100"/>
  </r>
  <r>
    <n v="776"/>
    <d v="2023-10-31T00:00:00"/>
    <x v="775"/>
    <s v="Male"/>
    <n v="35"/>
    <x v="0"/>
    <x v="1"/>
    <n v="3"/>
    <n v="30"/>
    <n v="90"/>
  </r>
  <r>
    <n v="777"/>
    <d v="2023-12-20T00:00:00"/>
    <x v="776"/>
    <s v="Male"/>
    <n v="48"/>
    <x v="1"/>
    <x v="2"/>
    <n v="3"/>
    <n v="50"/>
    <n v="150"/>
  </r>
  <r>
    <n v="778"/>
    <d v="2023-11-18T00:00:00"/>
    <x v="777"/>
    <s v="Female"/>
    <n v="47"/>
    <x v="1"/>
    <x v="0"/>
    <n v="4"/>
    <n v="25"/>
    <n v="100"/>
  </r>
  <r>
    <n v="779"/>
    <d v="2023-05-05T00:00:00"/>
    <x v="778"/>
    <s v="Female"/>
    <n v="56"/>
    <x v="1"/>
    <x v="2"/>
    <n v="2"/>
    <n v="500"/>
    <n v="1000"/>
  </r>
  <r>
    <n v="780"/>
    <d v="2023-02-22T00:00:00"/>
    <x v="779"/>
    <s v="Male"/>
    <n v="52"/>
    <x v="1"/>
    <x v="2"/>
    <n v="2"/>
    <n v="25"/>
    <n v="50"/>
  </r>
  <r>
    <n v="781"/>
    <d v="2023-12-23T00:00:00"/>
    <x v="780"/>
    <s v="Male"/>
    <n v="35"/>
    <x v="0"/>
    <x v="0"/>
    <n v="1"/>
    <n v="500"/>
    <n v="500"/>
  </r>
  <r>
    <n v="782"/>
    <d v="2023-06-04T00:00:00"/>
    <x v="781"/>
    <s v="Male"/>
    <n v="59"/>
    <x v="1"/>
    <x v="1"/>
    <n v="3"/>
    <n v="300"/>
    <n v="900"/>
  </r>
  <r>
    <n v="783"/>
    <d v="2023-12-17T00:00:00"/>
    <x v="782"/>
    <s v="Female"/>
    <n v="56"/>
    <x v="1"/>
    <x v="1"/>
    <n v="1"/>
    <n v="300"/>
    <n v="300"/>
  </r>
  <r>
    <n v="784"/>
    <d v="2023-11-04T00:00:00"/>
    <x v="783"/>
    <s v="Female"/>
    <n v="34"/>
    <x v="0"/>
    <x v="2"/>
    <n v="1"/>
    <n v="500"/>
    <n v="500"/>
  </r>
  <r>
    <n v="785"/>
    <d v="2023-03-03T00:00:00"/>
    <x v="784"/>
    <s v="Female"/>
    <n v="31"/>
    <x v="0"/>
    <x v="0"/>
    <n v="4"/>
    <n v="50"/>
    <n v="200"/>
  </r>
  <r>
    <n v="786"/>
    <d v="2023-10-17T00:00:00"/>
    <x v="785"/>
    <s v="Male"/>
    <n v="48"/>
    <x v="1"/>
    <x v="1"/>
    <n v="4"/>
    <n v="25"/>
    <n v="100"/>
  </r>
  <r>
    <n v="787"/>
    <d v="2023-01-22T00:00:00"/>
    <x v="786"/>
    <s v="Male"/>
    <n v="41"/>
    <x v="1"/>
    <x v="2"/>
    <n v="1"/>
    <n v="25"/>
    <n v="25"/>
  </r>
  <r>
    <n v="788"/>
    <d v="2023-06-27T00:00:00"/>
    <x v="787"/>
    <s v="Female"/>
    <n v="52"/>
    <x v="1"/>
    <x v="0"/>
    <n v="3"/>
    <n v="300"/>
    <n v="900"/>
  </r>
  <r>
    <n v="789"/>
    <d v="2023-09-30T00:00:00"/>
    <x v="788"/>
    <s v="Female"/>
    <n v="61"/>
    <x v="1"/>
    <x v="1"/>
    <n v="4"/>
    <n v="500"/>
    <n v="2000"/>
  </r>
  <r>
    <n v="790"/>
    <d v="2023-08-08T00:00:00"/>
    <x v="789"/>
    <s v="Male"/>
    <n v="62"/>
    <x v="1"/>
    <x v="1"/>
    <n v="1"/>
    <n v="25"/>
    <n v="25"/>
  </r>
  <r>
    <n v="791"/>
    <d v="2023-12-05T00:00:00"/>
    <x v="790"/>
    <s v="Female"/>
    <n v="51"/>
    <x v="1"/>
    <x v="0"/>
    <n v="1"/>
    <n v="25"/>
    <n v="25"/>
  </r>
  <r>
    <n v="792"/>
    <d v="2023-07-09T00:00:00"/>
    <x v="791"/>
    <s v="Female"/>
    <n v="20"/>
    <x v="2"/>
    <x v="0"/>
    <n v="1"/>
    <n v="50"/>
    <n v="50"/>
  </r>
  <r>
    <n v="793"/>
    <d v="2023-02-05T00:00:00"/>
    <x v="792"/>
    <s v="Male"/>
    <n v="54"/>
    <x v="1"/>
    <x v="0"/>
    <n v="1"/>
    <n v="30"/>
    <n v="30"/>
  </r>
  <r>
    <n v="794"/>
    <d v="2023-09-17T00:00:00"/>
    <x v="793"/>
    <s v="Female"/>
    <n v="60"/>
    <x v="1"/>
    <x v="0"/>
    <n v="1"/>
    <n v="300"/>
    <n v="300"/>
  </r>
  <r>
    <n v="795"/>
    <d v="2023-11-28T00:00:00"/>
    <x v="794"/>
    <s v="Male"/>
    <n v="57"/>
    <x v="1"/>
    <x v="2"/>
    <n v="1"/>
    <n v="300"/>
    <n v="300"/>
  </r>
  <r>
    <n v="796"/>
    <d v="2023-06-24T00:00:00"/>
    <x v="795"/>
    <s v="Male"/>
    <n v="43"/>
    <x v="1"/>
    <x v="0"/>
    <n v="4"/>
    <n v="30"/>
    <n v="120"/>
  </r>
  <r>
    <n v="797"/>
    <d v="2023-01-07T00:00:00"/>
    <x v="796"/>
    <s v="Male"/>
    <n v="40"/>
    <x v="0"/>
    <x v="1"/>
    <n v="3"/>
    <n v="25"/>
    <n v="75"/>
  </r>
  <r>
    <n v="798"/>
    <d v="2023-08-04T00:00:00"/>
    <x v="797"/>
    <s v="Male"/>
    <n v="61"/>
    <x v="1"/>
    <x v="1"/>
    <n v="1"/>
    <n v="50"/>
    <n v="50"/>
  </r>
  <r>
    <n v="799"/>
    <d v="2023-09-08T00:00:00"/>
    <x v="798"/>
    <s v="Male"/>
    <n v="56"/>
    <x v="1"/>
    <x v="2"/>
    <n v="2"/>
    <n v="50"/>
    <n v="100"/>
  </r>
  <r>
    <n v="800"/>
    <d v="2023-02-24T00:00:00"/>
    <x v="799"/>
    <s v="Male"/>
    <n v="32"/>
    <x v="0"/>
    <x v="1"/>
    <n v="4"/>
    <n v="300"/>
    <n v="1200"/>
  </r>
  <r>
    <n v="801"/>
    <d v="2023-08-10T00:00:00"/>
    <x v="800"/>
    <s v="Male"/>
    <n v="21"/>
    <x v="2"/>
    <x v="1"/>
    <n v="4"/>
    <n v="50"/>
    <n v="200"/>
  </r>
  <r>
    <n v="802"/>
    <d v="2023-07-05T00:00:00"/>
    <x v="801"/>
    <s v="Female"/>
    <n v="46"/>
    <x v="1"/>
    <x v="0"/>
    <n v="1"/>
    <n v="30"/>
    <n v="30"/>
  </r>
  <r>
    <n v="803"/>
    <d v="2023-11-22T00:00:00"/>
    <x v="802"/>
    <s v="Male"/>
    <n v="39"/>
    <x v="0"/>
    <x v="1"/>
    <n v="4"/>
    <n v="25"/>
    <n v="100"/>
  </r>
  <r>
    <n v="804"/>
    <d v="2023-08-24T00:00:00"/>
    <x v="803"/>
    <s v="Male"/>
    <n v="42"/>
    <x v="1"/>
    <x v="2"/>
    <n v="1"/>
    <n v="30"/>
    <n v="30"/>
  </r>
  <r>
    <n v="805"/>
    <d v="2023-12-29T00:00:00"/>
    <x v="804"/>
    <s v="Female"/>
    <n v="30"/>
    <x v="0"/>
    <x v="0"/>
    <n v="3"/>
    <n v="500"/>
    <n v="1500"/>
  </r>
  <r>
    <n v="806"/>
    <d v="2023-03-20T00:00:00"/>
    <x v="805"/>
    <s v="Female"/>
    <n v="35"/>
    <x v="0"/>
    <x v="0"/>
    <n v="3"/>
    <n v="300"/>
    <n v="900"/>
  </r>
  <r>
    <n v="807"/>
    <d v="2023-08-11T00:00:00"/>
    <x v="806"/>
    <s v="Female"/>
    <n v="50"/>
    <x v="1"/>
    <x v="2"/>
    <n v="4"/>
    <n v="50"/>
    <n v="200"/>
  </r>
  <r>
    <n v="808"/>
    <d v="2023-04-01T00:00:00"/>
    <x v="807"/>
    <s v="Male"/>
    <n v="33"/>
    <x v="0"/>
    <x v="0"/>
    <n v="4"/>
    <n v="500"/>
    <n v="2000"/>
  </r>
  <r>
    <n v="809"/>
    <d v="2023-09-25T00:00:00"/>
    <x v="808"/>
    <s v="Female"/>
    <n v="62"/>
    <x v="1"/>
    <x v="0"/>
    <n v="2"/>
    <n v="50"/>
    <n v="100"/>
  </r>
  <r>
    <n v="810"/>
    <d v="2023-11-30T00:00:00"/>
    <x v="809"/>
    <s v="Male"/>
    <n v="59"/>
    <x v="1"/>
    <x v="2"/>
    <n v="4"/>
    <n v="25"/>
    <n v="100"/>
  </r>
  <r>
    <n v="811"/>
    <d v="2023-05-19T00:00:00"/>
    <x v="810"/>
    <s v="Male"/>
    <n v="61"/>
    <x v="1"/>
    <x v="0"/>
    <n v="2"/>
    <n v="25"/>
    <n v="50"/>
  </r>
  <r>
    <n v="812"/>
    <d v="2023-11-12T00:00:00"/>
    <x v="811"/>
    <s v="Male"/>
    <n v="19"/>
    <x v="2"/>
    <x v="2"/>
    <n v="3"/>
    <n v="25"/>
    <n v="75"/>
  </r>
  <r>
    <n v="813"/>
    <d v="2023-10-03T00:00:00"/>
    <x v="812"/>
    <s v="Male"/>
    <n v="52"/>
    <x v="1"/>
    <x v="2"/>
    <n v="3"/>
    <n v="50"/>
    <n v="150"/>
  </r>
  <r>
    <n v="814"/>
    <d v="2023-09-05T00:00:00"/>
    <x v="813"/>
    <s v="Female"/>
    <n v="59"/>
    <x v="1"/>
    <x v="1"/>
    <n v="1"/>
    <n v="500"/>
    <n v="500"/>
  </r>
  <r>
    <n v="815"/>
    <d v="2023-08-27T00:00:00"/>
    <x v="814"/>
    <s v="Female"/>
    <n v="51"/>
    <x v="1"/>
    <x v="1"/>
    <n v="3"/>
    <n v="25"/>
    <n v="75"/>
  </r>
  <r>
    <n v="816"/>
    <d v="2023-08-12T00:00:00"/>
    <x v="815"/>
    <s v="Male"/>
    <n v="47"/>
    <x v="1"/>
    <x v="0"/>
    <n v="2"/>
    <n v="500"/>
    <n v="1000"/>
  </r>
  <r>
    <n v="817"/>
    <d v="2023-10-31T00:00:00"/>
    <x v="816"/>
    <s v="Male"/>
    <n v="30"/>
    <x v="0"/>
    <x v="0"/>
    <n v="4"/>
    <n v="50"/>
    <n v="200"/>
  </r>
  <r>
    <n v="818"/>
    <d v="2023-05-18T00:00:00"/>
    <x v="817"/>
    <s v="Male"/>
    <n v="30"/>
    <x v="0"/>
    <x v="2"/>
    <n v="1"/>
    <n v="500"/>
    <n v="500"/>
  </r>
  <r>
    <n v="819"/>
    <d v="2023-06-15T00:00:00"/>
    <x v="818"/>
    <s v="Female"/>
    <n v="35"/>
    <x v="0"/>
    <x v="0"/>
    <n v="2"/>
    <n v="50"/>
    <n v="100"/>
  </r>
  <r>
    <n v="820"/>
    <d v="2023-05-06T00:00:00"/>
    <x v="819"/>
    <s v="Male"/>
    <n v="49"/>
    <x v="1"/>
    <x v="2"/>
    <n v="4"/>
    <n v="50"/>
    <n v="200"/>
  </r>
  <r>
    <n v="821"/>
    <d v="2023-02-14T00:00:00"/>
    <x v="820"/>
    <s v="Male"/>
    <n v="49"/>
    <x v="1"/>
    <x v="2"/>
    <n v="1"/>
    <n v="300"/>
    <n v="300"/>
  </r>
  <r>
    <n v="822"/>
    <d v="2023-05-23T00:00:00"/>
    <x v="821"/>
    <s v="Female"/>
    <n v="52"/>
    <x v="1"/>
    <x v="0"/>
    <n v="3"/>
    <n v="50"/>
    <n v="150"/>
  </r>
  <r>
    <n v="823"/>
    <d v="2023-08-19T00:00:00"/>
    <x v="822"/>
    <s v="Female"/>
    <n v="56"/>
    <x v="1"/>
    <x v="2"/>
    <n v="2"/>
    <n v="50"/>
    <n v="100"/>
  </r>
  <r>
    <n v="824"/>
    <d v="2023-05-05T00:00:00"/>
    <x v="823"/>
    <s v="Male"/>
    <n v="63"/>
    <x v="1"/>
    <x v="1"/>
    <n v="4"/>
    <n v="30"/>
    <n v="120"/>
  </r>
  <r>
    <n v="825"/>
    <d v="2023-08-26T00:00:00"/>
    <x v="824"/>
    <s v="Female"/>
    <n v="46"/>
    <x v="1"/>
    <x v="0"/>
    <n v="1"/>
    <n v="25"/>
    <n v="25"/>
  </r>
  <r>
    <n v="826"/>
    <d v="2023-10-19T00:00:00"/>
    <x v="825"/>
    <s v="Female"/>
    <n v="46"/>
    <x v="1"/>
    <x v="1"/>
    <n v="1"/>
    <n v="300"/>
    <n v="300"/>
  </r>
  <r>
    <n v="827"/>
    <d v="2023-11-09T00:00:00"/>
    <x v="826"/>
    <s v="Male"/>
    <n v="61"/>
    <x v="1"/>
    <x v="0"/>
    <n v="3"/>
    <n v="300"/>
    <n v="900"/>
  </r>
  <r>
    <n v="828"/>
    <d v="2023-12-09T00:00:00"/>
    <x v="827"/>
    <s v="Female"/>
    <n v="33"/>
    <x v="0"/>
    <x v="2"/>
    <n v="4"/>
    <n v="300"/>
    <n v="1200"/>
  </r>
  <r>
    <n v="829"/>
    <d v="2023-07-14T00:00:00"/>
    <x v="828"/>
    <s v="Male"/>
    <n v="61"/>
    <x v="1"/>
    <x v="0"/>
    <n v="3"/>
    <n v="30"/>
    <n v="90"/>
  </r>
  <r>
    <n v="830"/>
    <d v="2023-06-22T00:00:00"/>
    <x v="829"/>
    <s v="Female"/>
    <n v="64"/>
    <x v="1"/>
    <x v="1"/>
    <n v="3"/>
    <n v="50"/>
    <n v="150"/>
  </r>
  <r>
    <n v="831"/>
    <d v="2023-01-15T00:00:00"/>
    <x v="830"/>
    <s v="Male"/>
    <n v="27"/>
    <x v="0"/>
    <x v="2"/>
    <n v="4"/>
    <n v="25"/>
    <n v="100"/>
  </r>
  <r>
    <n v="832"/>
    <d v="2023-09-11T00:00:00"/>
    <x v="831"/>
    <s v="Male"/>
    <n v="47"/>
    <x v="1"/>
    <x v="0"/>
    <n v="4"/>
    <n v="500"/>
    <n v="2000"/>
  </r>
  <r>
    <n v="833"/>
    <d v="2023-06-16T00:00:00"/>
    <x v="832"/>
    <s v="Male"/>
    <n v="42"/>
    <x v="1"/>
    <x v="0"/>
    <n v="4"/>
    <n v="50"/>
    <n v="200"/>
  </r>
  <r>
    <n v="834"/>
    <d v="2023-04-04T00:00:00"/>
    <x v="833"/>
    <s v="Female"/>
    <n v="56"/>
    <x v="1"/>
    <x v="0"/>
    <n v="2"/>
    <n v="30"/>
    <n v="60"/>
  </r>
  <r>
    <n v="835"/>
    <d v="2023-09-07T00:00:00"/>
    <x v="834"/>
    <s v="Male"/>
    <n v="37"/>
    <x v="0"/>
    <x v="1"/>
    <n v="4"/>
    <n v="50"/>
    <n v="200"/>
  </r>
  <r>
    <n v="836"/>
    <d v="2023-04-19T00:00:00"/>
    <x v="835"/>
    <s v="Female"/>
    <n v="22"/>
    <x v="2"/>
    <x v="1"/>
    <n v="1"/>
    <n v="50"/>
    <n v="50"/>
  </r>
  <r>
    <n v="837"/>
    <d v="2023-07-01T00:00:00"/>
    <x v="836"/>
    <s v="Male"/>
    <n v="18"/>
    <x v="2"/>
    <x v="0"/>
    <n v="3"/>
    <n v="30"/>
    <n v="90"/>
  </r>
  <r>
    <n v="838"/>
    <d v="2023-05-13T00:00:00"/>
    <x v="837"/>
    <s v="Male"/>
    <n v="47"/>
    <x v="1"/>
    <x v="2"/>
    <n v="2"/>
    <n v="300"/>
    <n v="600"/>
  </r>
  <r>
    <n v="839"/>
    <d v="2023-06-24T00:00:00"/>
    <x v="838"/>
    <s v="Female"/>
    <n v="20"/>
    <x v="2"/>
    <x v="2"/>
    <n v="4"/>
    <n v="300"/>
    <n v="1200"/>
  </r>
  <r>
    <n v="840"/>
    <d v="2023-05-24T00:00:00"/>
    <x v="839"/>
    <s v="Male"/>
    <n v="62"/>
    <x v="1"/>
    <x v="1"/>
    <n v="2"/>
    <n v="25"/>
    <n v="50"/>
  </r>
  <r>
    <n v="841"/>
    <d v="2023-11-02T00:00:00"/>
    <x v="840"/>
    <s v="Male"/>
    <n v="31"/>
    <x v="0"/>
    <x v="2"/>
    <n v="4"/>
    <n v="25"/>
    <n v="100"/>
  </r>
  <r>
    <n v="842"/>
    <d v="2023-12-26T00:00:00"/>
    <x v="841"/>
    <s v="Female"/>
    <n v="47"/>
    <x v="1"/>
    <x v="1"/>
    <n v="2"/>
    <n v="300"/>
    <n v="600"/>
  </r>
  <r>
    <n v="843"/>
    <d v="2023-05-22T00:00:00"/>
    <x v="842"/>
    <s v="Male"/>
    <n v="21"/>
    <x v="2"/>
    <x v="0"/>
    <n v="3"/>
    <n v="500"/>
    <n v="1500"/>
  </r>
  <r>
    <n v="844"/>
    <d v="2023-10-12T00:00:00"/>
    <x v="843"/>
    <s v="Male"/>
    <n v="35"/>
    <x v="0"/>
    <x v="1"/>
    <n v="3"/>
    <n v="50"/>
    <n v="150"/>
  </r>
  <r>
    <n v="845"/>
    <d v="2023-01-06T00:00:00"/>
    <x v="844"/>
    <s v="Male"/>
    <n v="54"/>
    <x v="1"/>
    <x v="1"/>
    <n v="1"/>
    <n v="500"/>
    <n v="500"/>
  </r>
  <r>
    <n v="846"/>
    <d v="2023-09-22T00:00:00"/>
    <x v="845"/>
    <s v="Male"/>
    <n v="42"/>
    <x v="1"/>
    <x v="0"/>
    <n v="1"/>
    <n v="50"/>
    <n v="50"/>
  </r>
  <r>
    <n v="847"/>
    <d v="2023-04-08T00:00:00"/>
    <x v="846"/>
    <s v="Female"/>
    <n v="18"/>
    <x v="2"/>
    <x v="2"/>
    <n v="4"/>
    <n v="300"/>
    <n v="1200"/>
  </r>
  <r>
    <n v="848"/>
    <d v="2023-02-13T00:00:00"/>
    <x v="847"/>
    <s v="Female"/>
    <n v="63"/>
    <x v="1"/>
    <x v="1"/>
    <n v="3"/>
    <n v="25"/>
    <n v="75"/>
  </r>
  <r>
    <n v="849"/>
    <d v="2023-05-04T00:00:00"/>
    <x v="848"/>
    <s v="Male"/>
    <n v="32"/>
    <x v="0"/>
    <x v="1"/>
    <n v="2"/>
    <n v="25"/>
    <n v="50"/>
  </r>
  <r>
    <n v="850"/>
    <d v="2023-07-28T00:00:00"/>
    <x v="849"/>
    <s v="Female"/>
    <n v="26"/>
    <x v="0"/>
    <x v="0"/>
    <n v="2"/>
    <n v="500"/>
    <n v="1000"/>
  </r>
  <r>
    <n v="851"/>
    <d v="2023-09-08T00:00:00"/>
    <x v="850"/>
    <s v="Male"/>
    <n v="32"/>
    <x v="0"/>
    <x v="2"/>
    <n v="2"/>
    <n v="25"/>
    <n v="50"/>
  </r>
  <r>
    <n v="852"/>
    <d v="2023-10-12T00:00:00"/>
    <x v="851"/>
    <s v="Female"/>
    <n v="41"/>
    <x v="1"/>
    <x v="1"/>
    <n v="1"/>
    <n v="300"/>
    <n v="300"/>
  </r>
  <r>
    <n v="853"/>
    <d v="2023-05-04T00:00:00"/>
    <x v="852"/>
    <s v="Male"/>
    <n v="21"/>
    <x v="2"/>
    <x v="0"/>
    <n v="2"/>
    <n v="500"/>
    <n v="1000"/>
  </r>
  <r>
    <n v="854"/>
    <d v="2023-12-20T00:00:00"/>
    <x v="853"/>
    <s v="Male"/>
    <n v="29"/>
    <x v="0"/>
    <x v="1"/>
    <n v="1"/>
    <n v="50"/>
    <n v="50"/>
  </r>
  <r>
    <n v="855"/>
    <d v="2023-09-01T00:00:00"/>
    <x v="854"/>
    <s v="Male"/>
    <n v="54"/>
    <x v="1"/>
    <x v="0"/>
    <n v="1"/>
    <n v="25"/>
    <n v="25"/>
  </r>
  <r>
    <n v="856"/>
    <d v="2023-11-27T00:00:00"/>
    <x v="855"/>
    <s v="Male"/>
    <n v="54"/>
    <x v="1"/>
    <x v="2"/>
    <n v="4"/>
    <n v="30"/>
    <n v="120"/>
  </r>
  <r>
    <n v="857"/>
    <d v="2023-12-31T00:00:00"/>
    <x v="856"/>
    <s v="Male"/>
    <n v="60"/>
    <x v="1"/>
    <x v="2"/>
    <n v="2"/>
    <n v="25"/>
    <n v="50"/>
  </r>
  <r>
    <n v="858"/>
    <d v="2023-09-09T00:00:00"/>
    <x v="857"/>
    <s v="Male"/>
    <n v="23"/>
    <x v="2"/>
    <x v="2"/>
    <n v="2"/>
    <n v="50"/>
    <n v="100"/>
  </r>
  <r>
    <n v="859"/>
    <d v="2023-08-18T00:00:00"/>
    <x v="858"/>
    <s v="Female"/>
    <n v="56"/>
    <x v="1"/>
    <x v="2"/>
    <n v="3"/>
    <n v="500"/>
    <n v="1500"/>
  </r>
  <r>
    <n v="860"/>
    <d v="2023-01-09T00:00:00"/>
    <x v="859"/>
    <s v="Male"/>
    <n v="63"/>
    <x v="1"/>
    <x v="1"/>
    <n v="4"/>
    <n v="50"/>
    <n v="200"/>
  </r>
  <r>
    <n v="861"/>
    <d v="2023-02-17T00:00:00"/>
    <x v="860"/>
    <s v="Female"/>
    <n v="41"/>
    <x v="1"/>
    <x v="1"/>
    <n v="3"/>
    <n v="30"/>
    <n v="90"/>
  </r>
  <r>
    <n v="862"/>
    <d v="2023-05-31T00:00:00"/>
    <x v="861"/>
    <s v="Male"/>
    <n v="28"/>
    <x v="0"/>
    <x v="2"/>
    <n v="4"/>
    <n v="300"/>
    <n v="1200"/>
  </r>
  <r>
    <n v="863"/>
    <d v="2023-04-24T00:00:00"/>
    <x v="862"/>
    <s v="Female"/>
    <n v="30"/>
    <x v="0"/>
    <x v="2"/>
    <n v="2"/>
    <n v="25"/>
    <n v="50"/>
  </r>
  <r>
    <n v="864"/>
    <d v="2023-07-27T00:00:00"/>
    <x v="863"/>
    <s v="Female"/>
    <n v="51"/>
    <x v="1"/>
    <x v="2"/>
    <n v="1"/>
    <n v="500"/>
    <n v="500"/>
  </r>
  <r>
    <n v="865"/>
    <d v="2023-12-21T00:00:00"/>
    <x v="864"/>
    <s v="Female"/>
    <n v="42"/>
    <x v="1"/>
    <x v="1"/>
    <n v="1"/>
    <n v="300"/>
    <n v="300"/>
  </r>
  <r>
    <n v="866"/>
    <d v="2023-05-05T00:00:00"/>
    <x v="865"/>
    <s v="Male"/>
    <n v="24"/>
    <x v="2"/>
    <x v="2"/>
    <n v="1"/>
    <n v="50"/>
    <n v="50"/>
  </r>
  <r>
    <n v="867"/>
    <d v="2023-06-06T00:00:00"/>
    <x v="866"/>
    <s v="Male"/>
    <n v="21"/>
    <x v="2"/>
    <x v="2"/>
    <n v="1"/>
    <n v="500"/>
    <n v="500"/>
  </r>
  <r>
    <n v="868"/>
    <d v="2023-12-06T00:00:00"/>
    <x v="867"/>
    <s v="Female"/>
    <n v="25"/>
    <x v="0"/>
    <x v="2"/>
    <n v="1"/>
    <n v="300"/>
    <n v="300"/>
  </r>
  <r>
    <n v="869"/>
    <d v="2023-10-25T00:00:00"/>
    <x v="868"/>
    <s v="Male"/>
    <n v="37"/>
    <x v="0"/>
    <x v="0"/>
    <n v="3"/>
    <n v="500"/>
    <n v="1500"/>
  </r>
  <r>
    <n v="870"/>
    <d v="2023-07-08T00:00:00"/>
    <x v="869"/>
    <s v="Female"/>
    <n v="46"/>
    <x v="1"/>
    <x v="2"/>
    <n v="4"/>
    <n v="30"/>
    <n v="120"/>
  </r>
  <r>
    <n v="871"/>
    <d v="2023-08-31T00:00:00"/>
    <x v="870"/>
    <s v="Male"/>
    <n v="62"/>
    <x v="1"/>
    <x v="0"/>
    <n v="2"/>
    <n v="30"/>
    <n v="60"/>
  </r>
  <r>
    <n v="872"/>
    <d v="2023-10-11T00:00:00"/>
    <x v="871"/>
    <s v="Female"/>
    <n v="63"/>
    <x v="1"/>
    <x v="0"/>
    <n v="3"/>
    <n v="25"/>
    <n v="75"/>
  </r>
  <r>
    <n v="873"/>
    <d v="2023-09-29T00:00:00"/>
    <x v="872"/>
    <s v="Female"/>
    <n v="27"/>
    <x v="0"/>
    <x v="2"/>
    <n v="4"/>
    <n v="25"/>
    <n v="100"/>
  </r>
  <r>
    <n v="874"/>
    <d v="2023-06-26T00:00:00"/>
    <x v="873"/>
    <s v="Male"/>
    <n v="60"/>
    <x v="1"/>
    <x v="0"/>
    <n v="1"/>
    <n v="30"/>
    <n v="30"/>
  </r>
  <r>
    <n v="875"/>
    <d v="2023-08-06T00:00:00"/>
    <x v="874"/>
    <s v="Female"/>
    <n v="51"/>
    <x v="1"/>
    <x v="2"/>
    <n v="4"/>
    <n v="500"/>
    <n v="2000"/>
  </r>
  <r>
    <n v="876"/>
    <d v="2023-10-09T00:00:00"/>
    <x v="875"/>
    <s v="Male"/>
    <n v="43"/>
    <x v="1"/>
    <x v="1"/>
    <n v="4"/>
    <n v="30"/>
    <n v="120"/>
  </r>
  <r>
    <n v="877"/>
    <d v="2023-06-19T00:00:00"/>
    <x v="876"/>
    <s v="Female"/>
    <n v="58"/>
    <x v="1"/>
    <x v="1"/>
    <n v="1"/>
    <n v="25"/>
    <n v="25"/>
  </r>
  <r>
    <n v="878"/>
    <d v="2023-06-30T00:00:00"/>
    <x v="877"/>
    <s v="Female"/>
    <n v="20"/>
    <x v="2"/>
    <x v="1"/>
    <n v="1"/>
    <n v="30"/>
    <n v="30"/>
  </r>
  <r>
    <n v="879"/>
    <d v="2023-12-26T00:00:00"/>
    <x v="878"/>
    <s v="Male"/>
    <n v="23"/>
    <x v="2"/>
    <x v="1"/>
    <n v="1"/>
    <n v="30"/>
    <n v="30"/>
  </r>
  <r>
    <n v="880"/>
    <d v="2023-08-21T00:00:00"/>
    <x v="879"/>
    <s v="Male"/>
    <n v="22"/>
    <x v="2"/>
    <x v="0"/>
    <n v="2"/>
    <n v="500"/>
    <n v="1000"/>
  </r>
  <r>
    <n v="881"/>
    <d v="2023-05-19T00:00:00"/>
    <x v="880"/>
    <s v="Male"/>
    <n v="22"/>
    <x v="2"/>
    <x v="2"/>
    <n v="1"/>
    <n v="300"/>
    <n v="300"/>
  </r>
  <r>
    <n v="882"/>
    <d v="2023-06-06T00:00:00"/>
    <x v="881"/>
    <s v="Female"/>
    <n v="64"/>
    <x v="1"/>
    <x v="2"/>
    <n v="2"/>
    <n v="25"/>
    <n v="50"/>
  </r>
  <r>
    <n v="883"/>
    <d v="2023-05-09T00:00:00"/>
    <x v="882"/>
    <s v="Male"/>
    <n v="40"/>
    <x v="0"/>
    <x v="2"/>
    <n v="1"/>
    <n v="500"/>
    <n v="500"/>
  </r>
  <r>
    <n v="884"/>
    <d v="2023-04-29T00:00:00"/>
    <x v="883"/>
    <s v="Female"/>
    <n v="26"/>
    <x v="0"/>
    <x v="1"/>
    <n v="2"/>
    <n v="30"/>
    <n v="60"/>
  </r>
  <r>
    <n v="885"/>
    <d v="2023-03-03T00:00:00"/>
    <x v="884"/>
    <s v="Female"/>
    <n v="52"/>
    <x v="1"/>
    <x v="1"/>
    <n v="4"/>
    <n v="30"/>
    <n v="120"/>
  </r>
  <r>
    <n v="886"/>
    <d v="2023-04-09T00:00:00"/>
    <x v="885"/>
    <s v="Male"/>
    <n v="37"/>
    <x v="0"/>
    <x v="2"/>
    <n v="3"/>
    <n v="300"/>
    <n v="900"/>
  </r>
  <r>
    <n v="887"/>
    <d v="2023-06-11T00:00:00"/>
    <x v="886"/>
    <s v="Male"/>
    <n v="59"/>
    <x v="1"/>
    <x v="1"/>
    <n v="4"/>
    <n v="25"/>
    <n v="100"/>
  </r>
  <r>
    <n v="888"/>
    <d v="2023-03-03T00:00:00"/>
    <x v="887"/>
    <s v="Female"/>
    <n v="52"/>
    <x v="1"/>
    <x v="2"/>
    <n v="4"/>
    <n v="25"/>
    <n v="100"/>
  </r>
  <r>
    <n v="889"/>
    <d v="2023-10-02T00:00:00"/>
    <x v="888"/>
    <s v="Female"/>
    <n v="35"/>
    <x v="0"/>
    <x v="2"/>
    <n v="1"/>
    <n v="50"/>
    <n v="50"/>
  </r>
  <r>
    <n v="890"/>
    <d v="2023-12-20T00:00:00"/>
    <x v="889"/>
    <s v="Male"/>
    <n v="34"/>
    <x v="0"/>
    <x v="2"/>
    <n v="2"/>
    <n v="25"/>
    <n v="50"/>
  </r>
  <r>
    <n v="891"/>
    <d v="2023-04-05T00:00:00"/>
    <x v="890"/>
    <s v="Male"/>
    <n v="41"/>
    <x v="1"/>
    <x v="2"/>
    <n v="3"/>
    <n v="300"/>
    <n v="900"/>
  </r>
  <r>
    <n v="892"/>
    <d v="2023-04-09T00:00:00"/>
    <x v="891"/>
    <s v="Male"/>
    <n v="20"/>
    <x v="2"/>
    <x v="2"/>
    <n v="1"/>
    <n v="50"/>
    <n v="50"/>
  </r>
  <r>
    <n v="893"/>
    <d v="2023-04-21T00:00:00"/>
    <x v="892"/>
    <s v="Male"/>
    <n v="49"/>
    <x v="1"/>
    <x v="2"/>
    <n v="1"/>
    <n v="50"/>
    <n v="50"/>
  </r>
  <r>
    <n v="894"/>
    <d v="2023-09-05T00:00:00"/>
    <x v="893"/>
    <s v="Male"/>
    <n v="52"/>
    <x v="1"/>
    <x v="2"/>
    <n v="1"/>
    <n v="30"/>
    <n v="30"/>
  </r>
  <r>
    <n v="895"/>
    <d v="2023-05-22T00:00:00"/>
    <x v="894"/>
    <s v="Female"/>
    <n v="55"/>
    <x v="1"/>
    <x v="1"/>
    <n v="4"/>
    <n v="30"/>
    <n v="120"/>
  </r>
  <r>
    <n v="896"/>
    <d v="2023-10-29T00:00:00"/>
    <x v="895"/>
    <s v="Female"/>
    <n v="30"/>
    <x v="0"/>
    <x v="2"/>
    <n v="2"/>
    <n v="25"/>
    <n v="50"/>
  </r>
  <r>
    <n v="897"/>
    <d v="2023-09-26T00:00:00"/>
    <x v="896"/>
    <s v="Female"/>
    <n v="64"/>
    <x v="1"/>
    <x v="2"/>
    <n v="2"/>
    <n v="50"/>
    <n v="100"/>
  </r>
  <r>
    <n v="898"/>
    <d v="2023-11-02T00:00:00"/>
    <x v="897"/>
    <s v="Female"/>
    <n v="42"/>
    <x v="1"/>
    <x v="1"/>
    <n v="3"/>
    <n v="30"/>
    <n v="90"/>
  </r>
  <r>
    <n v="899"/>
    <d v="2023-05-25T00:00:00"/>
    <x v="898"/>
    <s v="Male"/>
    <n v="26"/>
    <x v="0"/>
    <x v="1"/>
    <n v="2"/>
    <n v="300"/>
    <n v="600"/>
  </r>
  <r>
    <n v="900"/>
    <d v="2023-02-21T00:00:00"/>
    <x v="899"/>
    <s v="Male"/>
    <n v="21"/>
    <x v="2"/>
    <x v="1"/>
    <n v="2"/>
    <n v="30"/>
    <n v="60"/>
  </r>
  <r>
    <n v="901"/>
    <d v="2023-04-10T00:00:00"/>
    <x v="900"/>
    <s v="Male"/>
    <n v="31"/>
    <x v="0"/>
    <x v="2"/>
    <n v="1"/>
    <n v="30"/>
    <n v="30"/>
  </r>
  <r>
    <n v="902"/>
    <d v="2023-06-01T00:00:00"/>
    <x v="901"/>
    <s v="Female"/>
    <n v="54"/>
    <x v="1"/>
    <x v="0"/>
    <n v="1"/>
    <n v="50"/>
    <n v="50"/>
  </r>
  <r>
    <n v="903"/>
    <d v="2023-04-27T00:00:00"/>
    <x v="902"/>
    <s v="Female"/>
    <n v="51"/>
    <x v="1"/>
    <x v="0"/>
    <n v="4"/>
    <n v="50"/>
    <n v="200"/>
  </r>
  <r>
    <n v="904"/>
    <d v="2023-07-04T00:00:00"/>
    <x v="903"/>
    <s v="Male"/>
    <n v="28"/>
    <x v="0"/>
    <x v="1"/>
    <n v="1"/>
    <n v="500"/>
    <n v="500"/>
  </r>
  <r>
    <n v="905"/>
    <d v="2023-04-02T00:00:00"/>
    <x v="904"/>
    <s v="Male"/>
    <n v="58"/>
    <x v="1"/>
    <x v="0"/>
    <n v="1"/>
    <n v="300"/>
    <n v="300"/>
  </r>
  <r>
    <n v="906"/>
    <d v="2023-06-04T00:00:00"/>
    <x v="905"/>
    <s v="Female"/>
    <n v="20"/>
    <x v="2"/>
    <x v="1"/>
    <n v="1"/>
    <n v="50"/>
    <n v="50"/>
  </r>
  <r>
    <n v="907"/>
    <d v="2023-01-08T00:00:00"/>
    <x v="906"/>
    <s v="Female"/>
    <n v="45"/>
    <x v="1"/>
    <x v="2"/>
    <n v="1"/>
    <n v="25"/>
    <n v="25"/>
  </r>
  <r>
    <n v="908"/>
    <d v="2023-12-29T00:00:00"/>
    <x v="907"/>
    <s v="Male"/>
    <n v="46"/>
    <x v="1"/>
    <x v="0"/>
    <n v="4"/>
    <n v="300"/>
    <n v="1200"/>
  </r>
  <r>
    <n v="909"/>
    <d v="2023-10-01T00:00:00"/>
    <x v="908"/>
    <s v="Male"/>
    <n v="26"/>
    <x v="0"/>
    <x v="2"/>
    <n v="1"/>
    <n v="300"/>
    <n v="300"/>
  </r>
  <r>
    <n v="910"/>
    <d v="2023-03-06T00:00:00"/>
    <x v="909"/>
    <s v="Female"/>
    <n v="20"/>
    <x v="2"/>
    <x v="0"/>
    <n v="3"/>
    <n v="50"/>
    <n v="150"/>
  </r>
  <r>
    <n v="911"/>
    <d v="2023-05-21T00:00:00"/>
    <x v="910"/>
    <s v="Male"/>
    <n v="42"/>
    <x v="1"/>
    <x v="2"/>
    <n v="3"/>
    <n v="300"/>
    <n v="900"/>
  </r>
  <r>
    <n v="912"/>
    <d v="2023-01-24T00:00:00"/>
    <x v="911"/>
    <s v="Male"/>
    <n v="51"/>
    <x v="1"/>
    <x v="0"/>
    <n v="3"/>
    <n v="50"/>
    <n v="150"/>
  </r>
  <r>
    <n v="913"/>
    <d v="2023-01-28T00:00:00"/>
    <x v="912"/>
    <s v="Male"/>
    <n v="29"/>
    <x v="0"/>
    <x v="2"/>
    <n v="3"/>
    <n v="30"/>
    <n v="90"/>
  </r>
  <r>
    <n v="914"/>
    <d v="2023-10-11T00:00:00"/>
    <x v="913"/>
    <s v="Female"/>
    <n v="59"/>
    <x v="1"/>
    <x v="2"/>
    <n v="1"/>
    <n v="500"/>
    <n v="500"/>
  </r>
  <r>
    <n v="915"/>
    <d v="2023-05-30T00:00:00"/>
    <x v="914"/>
    <s v="Female"/>
    <n v="26"/>
    <x v="0"/>
    <x v="0"/>
    <n v="3"/>
    <n v="30"/>
    <n v="90"/>
  </r>
  <r>
    <n v="916"/>
    <d v="2023-12-24T00:00:00"/>
    <x v="915"/>
    <s v="Female"/>
    <n v="32"/>
    <x v="0"/>
    <x v="2"/>
    <n v="1"/>
    <n v="50"/>
    <n v="50"/>
  </r>
  <r>
    <n v="917"/>
    <d v="2023-03-06T00:00:00"/>
    <x v="916"/>
    <s v="Female"/>
    <n v="57"/>
    <x v="1"/>
    <x v="2"/>
    <n v="4"/>
    <n v="50"/>
    <n v="200"/>
  </r>
  <r>
    <n v="918"/>
    <d v="2023-11-23T00:00:00"/>
    <x v="917"/>
    <s v="Female"/>
    <n v="42"/>
    <x v="1"/>
    <x v="2"/>
    <n v="3"/>
    <n v="30"/>
    <n v="90"/>
  </r>
  <r>
    <n v="919"/>
    <d v="2023-09-09T00:00:00"/>
    <x v="918"/>
    <s v="Female"/>
    <n v="22"/>
    <x v="2"/>
    <x v="0"/>
    <n v="2"/>
    <n v="25"/>
    <n v="50"/>
  </r>
  <r>
    <n v="920"/>
    <d v="2023-02-22T00:00:00"/>
    <x v="919"/>
    <s v="Female"/>
    <n v="28"/>
    <x v="0"/>
    <x v="0"/>
    <n v="3"/>
    <n v="25"/>
    <n v="75"/>
  </r>
  <r>
    <n v="921"/>
    <d v="2023-01-07T00:00:00"/>
    <x v="920"/>
    <s v="Male"/>
    <n v="51"/>
    <x v="1"/>
    <x v="2"/>
    <n v="3"/>
    <n v="25"/>
    <n v="75"/>
  </r>
  <r>
    <n v="922"/>
    <d v="2023-10-21T00:00:00"/>
    <x v="921"/>
    <s v="Male"/>
    <n v="41"/>
    <x v="1"/>
    <x v="2"/>
    <n v="1"/>
    <n v="50"/>
    <n v="50"/>
  </r>
  <r>
    <n v="923"/>
    <d v="2023-05-26T00:00:00"/>
    <x v="922"/>
    <s v="Male"/>
    <n v="32"/>
    <x v="0"/>
    <x v="0"/>
    <n v="3"/>
    <n v="300"/>
    <n v="900"/>
  </r>
  <r>
    <n v="924"/>
    <d v="2023-08-29T00:00:00"/>
    <x v="923"/>
    <s v="Male"/>
    <n v="55"/>
    <x v="1"/>
    <x v="0"/>
    <n v="2"/>
    <n v="50"/>
    <n v="100"/>
  </r>
  <r>
    <n v="925"/>
    <d v="2023-09-03T00:00:00"/>
    <x v="924"/>
    <s v="Male"/>
    <n v="25"/>
    <x v="0"/>
    <x v="2"/>
    <n v="1"/>
    <n v="300"/>
    <n v="300"/>
  </r>
  <r>
    <n v="926"/>
    <d v="2023-08-14T00:00:00"/>
    <x v="925"/>
    <s v="Male"/>
    <n v="22"/>
    <x v="2"/>
    <x v="2"/>
    <n v="1"/>
    <n v="30"/>
    <n v="30"/>
  </r>
  <r>
    <n v="927"/>
    <d v="2023-06-24T00:00:00"/>
    <x v="926"/>
    <s v="Male"/>
    <n v="43"/>
    <x v="1"/>
    <x v="2"/>
    <n v="4"/>
    <n v="500"/>
    <n v="2000"/>
  </r>
  <r>
    <n v="928"/>
    <d v="2023-04-05T00:00:00"/>
    <x v="927"/>
    <s v="Female"/>
    <n v="35"/>
    <x v="0"/>
    <x v="1"/>
    <n v="4"/>
    <n v="300"/>
    <n v="1200"/>
  </r>
  <r>
    <n v="929"/>
    <d v="2023-01-27T00:00:00"/>
    <x v="928"/>
    <s v="Female"/>
    <n v="23"/>
    <x v="2"/>
    <x v="0"/>
    <n v="3"/>
    <n v="25"/>
    <n v="75"/>
  </r>
  <r>
    <n v="930"/>
    <d v="2023-05-10T00:00:00"/>
    <x v="929"/>
    <s v="Male"/>
    <n v="54"/>
    <x v="1"/>
    <x v="1"/>
    <n v="4"/>
    <n v="50"/>
    <n v="200"/>
  </r>
  <r>
    <n v="931"/>
    <d v="2023-09-02T00:00:00"/>
    <x v="930"/>
    <s v="Male"/>
    <n v="30"/>
    <x v="0"/>
    <x v="0"/>
    <n v="4"/>
    <n v="30"/>
    <n v="120"/>
  </r>
  <r>
    <n v="932"/>
    <d v="2023-02-28T00:00:00"/>
    <x v="931"/>
    <s v="Female"/>
    <n v="45"/>
    <x v="1"/>
    <x v="0"/>
    <n v="4"/>
    <n v="25"/>
    <n v="100"/>
  </r>
  <r>
    <n v="933"/>
    <d v="2023-02-03T00:00:00"/>
    <x v="932"/>
    <s v="Male"/>
    <n v="22"/>
    <x v="2"/>
    <x v="0"/>
    <n v="1"/>
    <n v="30"/>
    <n v="30"/>
  </r>
  <r>
    <n v="934"/>
    <d v="2023-07-25T00:00:00"/>
    <x v="933"/>
    <s v="Male"/>
    <n v="30"/>
    <x v="0"/>
    <x v="0"/>
    <n v="1"/>
    <n v="500"/>
    <n v="500"/>
  </r>
  <r>
    <n v="935"/>
    <d v="2023-09-09T00:00:00"/>
    <x v="934"/>
    <s v="Female"/>
    <n v="34"/>
    <x v="0"/>
    <x v="0"/>
    <n v="1"/>
    <n v="50"/>
    <n v="50"/>
  </r>
  <r>
    <n v="936"/>
    <d v="2023-02-07T00:00:00"/>
    <x v="935"/>
    <s v="Male"/>
    <n v="57"/>
    <x v="1"/>
    <x v="0"/>
    <n v="4"/>
    <n v="50"/>
    <n v="200"/>
  </r>
  <r>
    <n v="937"/>
    <d v="2023-10-23T00:00:00"/>
    <x v="936"/>
    <s v="Female"/>
    <n v="62"/>
    <x v="1"/>
    <x v="0"/>
    <n v="1"/>
    <n v="500"/>
    <n v="500"/>
  </r>
  <r>
    <n v="938"/>
    <d v="2023-11-19T00:00:00"/>
    <x v="937"/>
    <s v="Male"/>
    <n v="49"/>
    <x v="1"/>
    <x v="1"/>
    <n v="4"/>
    <n v="50"/>
    <n v="200"/>
  </r>
  <r>
    <n v="939"/>
    <d v="2023-12-18T00:00:00"/>
    <x v="938"/>
    <s v="Female"/>
    <n v="46"/>
    <x v="1"/>
    <x v="2"/>
    <n v="1"/>
    <n v="300"/>
    <n v="300"/>
  </r>
  <r>
    <n v="940"/>
    <d v="2023-01-28T00:00:00"/>
    <x v="939"/>
    <s v="Female"/>
    <n v="20"/>
    <x v="2"/>
    <x v="2"/>
    <n v="1"/>
    <n v="30"/>
    <n v="30"/>
  </r>
  <r>
    <n v="941"/>
    <d v="2023-03-19T00:00:00"/>
    <x v="940"/>
    <s v="Female"/>
    <n v="57"/>
    <x v="1"/>
    <x v="1"/>
    <n v="2"/>
    <n v="25"/>
    <n v="50"/>
  </r>
  <r>
    <n v="942"/>
    <d v="2023-03-18T00:00:00"/>
    <x v="941"/>
    <s v="Male"/>
    <n v="51"/>
    <x v="1"/>
    <x v="1"/>
    <n v="3"/>
    <n v="500"/>
    <n v="1500"/>
  </r>
  <r>
    <n v="943"/>
    <d v="2023-10-16T00:00:00"/>
    <x v="942"/>
    <s v="Female"/>
    <n v="57"/>
    <x v="1"/>
    <x v="1"/>
    <n v="4"/>
    <n v="300"/>
    <n v="1200"/>
  </r>
  <r>
    <n v="944"/>
    <d v="2023-06-05T00:00:00"/>
    <x v="943"/>
    <s v="Male"/>
    <n v="44"/>
    <x v="1"/>
    <x v="1"/>
    <n v="2"/>
    <n v="25"/>
    <n v="50"/>
  </r>
  <r>
    <n v="945"/>
    <d v="2023-02-13T00:00:00"/>
    <x v="944"/>
    <s v="Male"/>
    <n v="30"/>
    <x v="0"/>
    <x v="0"/>
    <n v="1"/>
    <n v="25"/>
    <n v="25"/>
  </r>
  <r>
    <n v="946"/>
    <d v="2023-05-08T00:00:00"/>
    <x v="945"/>
    <s v="Male"/>
    <n v="62"/>
    <x v="1"/>
    <x v="2"/>
    <n v="4"/>
    <n v="500"/>
    <n v="2000"/>
  </r>
  <r>
    <n v="947"/>
    <d v="2023-03-02T00:00:00"/>
    <x v="946"/>
    <s v="Male"/>
    <n v="50"/>
    <x v="1"/>
    <x v="0"/>
    <n v="1"/>
    <n v="300"/>
    <n v="300"/>
  </r>
  <r>
    <n v="948"/>
    <d v="2023-10-13T00:00:00"/>
    <x v="947"/>
    <s v="Female"/>
    <n v="23"/>
    <x v="2"/>
    <x v="2"/>
    <n v="3"/>
    <n v="25"/>
    <n v="75"/>
  </r>
  <r>
    <n v="949"/>
    <d v="2023-08-02T00:00:00"/>
    <x v="948"/>
    <s v="Female"/>
    <n v="41"/>
    <x v="1"/>
    <x v="2"/>
    <n v="2"/>
    <n v="25"/>
    <n v="50"/>
  </r>
  <r>
    <n v="950"/>
    <d v="2023-11-07T00:00:00"/>
    <x v="949"/>
    <s v="Male"/>
    <n v="36"/>
    <x v="0"/>
    <x v="1"/>
    <n v="3"/>
    <n v="300"/>
    <n v="900"/>
  </r>
  <r>
    <n v="951"/>
    <d v="2023-11-02T00:00:00"/>
    <x v="950"/>
    <s v="Male"/>
    <n v="33"/>
    <x v="0"/>
    <x v="0"/>
    <n v="2"/>
    <n v="50"/>
    <n v="100"/>
  </r>
  <r>
    <n v="952"/>
    <d v="2023-11-13T00:00:00"/>
    <x v="951"/>
    <s v="Female"/>
    <n v="57"/>
    <x v="1"/>
    <x v="1"/>
    <n v="1"/>
    <n v="25"/>
    <n v="25"/>
  </r>
  <r>
    <n v="953"/>
    <d v="2023-04-26T00:00:00"/>
    <x v="952"/>
    <s v="Male"/>
    <n v="45"/>
    <x v="1"/>
    <x v="0"/>
    <n v="3"/>
    <n v="30"/>
    <n v="90"/>
  </r>
  <r>
    <n v="954"/>
    <d v="2023-09-25T00:00:00"/>
    <x v="953"/>
    <s v="Female"/>
    <n v="50"/>
    <x v="1"/>
    <x v="2"/>
    <n v="3"/>
    <n v="300"/>
    <n v="900"/>
  </r>
  <r>
    <n v="955"/>
    <d v="2023-07-14T00:00:00"/>
    <x v="954"/>
    <s v="Male"/>
    <n v="58"/>
    <x v="1"/>
    <x v="1"/>
    <n v="1"/>
    <n v="25"/>
    <n v="25"/>
  </r>
  <r>
    <n v="956"/>
    <d v="2023-08-19T00:00:00"/>
    <x v="955"/>
    <s v="Male"/>
    <n v="30"/>
    <x v="0"/>
    <x v="1"/>
    <n v="3"/>
    <n v="500"/>
    <n v="1500"/>
  </r>
  <r>
    <n v="957"/>
    <d v="2023-08-15T00:00:00"/>
    <x v="956"/>
    <s v="Female"/>
    <n v="60"/>
    <x v="1"/>
    <x v="2"/>
    <n v="4"/>
    <n v="30"/>
    <n v="120"/>
  </r>
  <r>
    <n v="958"/>
    <d v="2023-06-02T00:00:00"/>
    <x v="957"/>
    <s v="Male"/>
    <n v="62"/>
    <x v="1"/>
    <x v="2"/>
    <n v="2"/>
    <n v="25"/>
    <n v="50"/>
  </r>
  <r>
    <n v="959"/>
    <d v="2023-10-29T00:00:00"/>
    <x v="958"/>
    <s v="Female"/>
    <n v="42"/>
    <x v="1"/>
    <x v="2"/>
    <n v="2"/>
    <n v="30"/>
    <n v="60"/>
  </r>
  <r>
    <n v="960"/>
    <d v="2023-08-08T00:00:00"/>
    <x v="959"/>
    <s v="Male"/>
    <n v="59"/>
    <x v="1"/>
    <x v="1"/>
    <n v="2"/>
    <n v="30"/>
    <n v="60"/>
  </r>
  <r>
    <n v="961"/>
    <d v="2023-06-06T00:00:00"/>
    <x v="960"/>
    <s v="Male"/>
    <n v="53"/>
    <x v="1"/>
    <x v="0"/>
    <n v="4"/>
    <n v="50"/>
    <n v="200"/>
  </r>
  <r>
    <n v="962"/>
    <d v="2023-10-19T00:00:00"/>
    <x v="961"/>
    <s v="Male"/>
    <n v="44"/>
    <x v="1"/>
    <x v="1"/>
    <n v="2"/>
    <n v="30"/>
    <n v="60"/>
  </r>
  <r>
    <n v="963"/>
    <d v="2023-11-14T00:00:00"/>
    <x v="962"/>
    <s v="Female"/>
    <n v="55"/>
    <x v="1"/>
    <x v="0"/>
    <n v="1"/>
    <n v="50"/>
    <n v="50"/>
  </r>
  <r>
    <n v="964"/>
    <d v="2023-01-31T00:00:00"/>
    <x v="963"/>
    <s v="Male"/>
    <n v="24"/>
    <x v="2"/>
    <x v="1"/>
    <n v="3"/>
    <n v="300"/>
    <n v="900"/>
  </r>
  <r>
    <n v="965"/>
    <d v="2023-11-09T00:00:00"/>
    <x v="964"/>
    <s v="Male"/>
    <n v="22"/>
    <x v="2"/>
    <x v="1"/>
    <n v="4"/>
    <n v="50"/>
    <n v="200"/>
  </r>
  <r>
    <n v="966"/>
    <d v="2023-02-20T00:00:00"/>
    <x v="965"/>
    <s v="Male"/>
    <n v="60"/>
    <x v="1"/>
    <x v="2"/>
    <n v="2"/>
    <n v="500"/>
    <n v="1000"/>
  </r>
  <r>
    <n v="967"/>
    <d v="2023-04-17T00:00:00"/>
    <x v="966"/>
    <s v="Male"/>
    <n v="62"/>
    <x v="1"/>
    <x v="0"/>
    <n v="1"/>
    <n v="25"/>
    <n v="25"/>
  </r>
  <r>
    <n v="968"/>
    <d v="2023-11-17T00:00:00"/>
    <x v="967"/>
    <s v="Female"/>
    <n v="48"/>
    <x v="1"/>
    <x v="1"/>
    <n v="3"/>
    <n v="300"/>
    <n v="900"/>
  </r>
  <r>
    <n v="969"/>
    <d v="2023-04-19T00:00:00"/>
    <x v="968"/>
    <s v="Female"/>
    <n v="40"/>
    <x v="0"/>
    <x v="1"/>
    <n v="3"/>
    <n v="300"/>
    <n v="900"/>
  </r>
  <r>
    <n v="970"/>
    <d v="2023-05-16T00:00:00"/>
    <x v="969"/>
    <s v="Male"/>
    <n v="59"/>
    <x v="1"/>
    <x v="2"/>
    <n v="4"/>
    <n v="500"/>
    <n v="2000"/>
  </r>
  <r>
    <n v="971"/>
    <d v="2023-12-05T00:00:00"/>
    <x v="970"/>
    <s v="Female"/>
    <n v="27"/>
    <x v="0"/>
    <x v="2"/>
    <n v="4"/>
    <n v="50"/>
    <n v="200"/>
  </r>
  <r>
    <n v="972"/>
    <d v="2023-02-11T00:00:00"/>
    <x v="971"/>
    <s v="Male"/>
    <n v="49"/>
    <x v="1"/>
    <x v="0"/>
    <n v="4"/>
    <n v="25"/>
    <n v="100"/>
  </r>
  <r>
    <n v="973"/>
    <d v="2023-03-22T00:00:00"/>
    <x v="972"/>
    <s v="Male"/>
    <n v="60"/>
    <x v="1"/>
    <x v="1"/>
    <n v="1"/>
    <n v="50"/>
    <n v="50"/>
  </r>
  <r>
    <n v="974"/>
    <d v="2023-05-03T00:00:00"/>
    <x v="973"/>
    <s v="Male"/>
    <n v="47"/>
    <x v="1"/>
    <x v="0"/>
    <n v="1"/>
    <n v="30"/>
    <n v="30"/>
  </r>
  <r>
    <n v="975"/>
    <d v="2023-03-30T00:00:00"/>
    <x v="974"/>
    <s v="Female"/>
    <n v="56"/>
    <x v="1"/>
    <x v="1"/>
    <n v="4"/>
    <n v="50"/>
    <n v="200"/>
  </r>
  <r>
    <n v="976"/>
    <d v="2023-10-10T00:00:00"/>
    <x v="975"/>
    <s v="Female"/>
    <n v="48"/>
    <x v="1"/>
    <x v="0"/>
    <n v="2"/>
    <n v="300"/>
    <n v="600"/>
  </r>
  <r>
    <n v="977"/>
    <d v="2023-02-08T00:00:00"/>
    <x v="976"/>
    <s v="Female"/>
    <n v="35"/>
    <x v="0"/>
    <x v="2"/>
    <n v="3"/>
    <n v="25"/>
    <n v="75"/>
  </r>
  <r>
    <n v="978"/>
    <d v="2023-03-22T00:00:00"/>
    <x v="977"/>
    <s v="Female"/>
    <n v="53"/>
    <x v="1"/>
    <x v="1"/>
    <n v="3"/>
    <n v="50"/>
    <n v="150"/>
  </r>
  <r>
    <n v="979"/>
    <d v="2023-01-02T00:00:00"/>
    <x v="978"/>
    <s v="Female"/>
    <n v="19"/>
    <x v="2"/>
    <x v="0"/>
    <n v="1"/>
    <n v="25"/>
    <n v="25"/>
  </r>
  <r>
    <n v="980"/>
    <d v="2023-07-29T00:00:00"/>
    <x v="979"/>
    <s v="Female"/>
    <n v="31"/>
    <x v="0"/>
    <x v="2"/>
    <n v="3"/>
    <n v="25"/>
    <n v="75"/>
  </r>
  <r>
    <n v="981"/>
    <d v="2023-08-19T00:00:00"/>
    <x v="980"/>
    <s v="Female"/>
    <n v="30"/>
    <x v="0"/>
    <x v="2"/>
    <n v="2"/>
    <n v="30"/>
    <n v="60"/>
  </r>
  <r>
    <n v="982"/>
    <d v="2023-12-19T00:00:00"/>
    <x v="981"/>
    <s v="Female"/>
    <n v="46"/>
    <x v="1"/>
    <x v="0"/>
    <n v="3"/>
    <n v="30"/>
    <n v="90"/>
  </r>
  <r>
    <n v="983"/>
    <d v="2023-11-01T00:00:00"/>
    <x v="982"/>
    <s v="Female"/>
    <n v="29"/>
    <x v="0"/>
    <x v="1"/>
    <n v="1"/>
    <n v="300"/>
    <n v="300"/>
  </r>
  <r>
    <n v="984"/>
    <d v="2023-08-29T00:00:00"/>
    <x v="983"/>
    <s v="Male"/>
    <n v="56"/>
    <x v="1"/>
    <x v="1"/>
    <n v="1"/>
    <n v="500"/>
    <n v="500"/>
  </r>
  <r>
    <n v="985"/>
    <d v="2023-05-30T00:00:00"/>
    <x v="984"/>
    <s v="Female"/>
    <n v="19"/>
    <x v="2"/>
    <x v="2"/>
    <n v="2"/>
    <n v="25"/>
    <n v="50"/>
  </r>
  <r>
    <n v="986"/>
    <d v="2023-01-17T00:00:00"/>
    <x v="985"/>
    <s v="Female"/>
    <n v="49"/>
    <x v="1"/>
    <x v="1"/>
    <n v="2"/>
    <n v="500"/>
    <n v="1000"/>
  </r>
  <r>
    <n v="987"/>
    <d v="2023-04-29T00:00:00"/>
    <x v="986"/>
    <s v="Female"/>
    <n v="30"/>
    <x v="0"/>
    <x v="1"/>
    <n v="3"/>
    <n v="300"/>
    <n v="900"/>
  </r>
  <r>
    <n v="988"/>
    <d v="2023-05-28T00:00:00"/>
    <x v="987"/>
    <s v="Female"/>
    <n v="63"/>
    <x v="1"/>
    <x v="1"/>
    <n v="3"/>
    <n v="25"/>
    <n v="75"/>
  </r>
  <r>
    <n v="989"/>
    <d v="2023-12-28T00:00:00"/>
    <x v="988"/>
    <s v="Female"/>
    <n v="44"/>
    <x v="1"/>
    <x v="2"/>
    <n v="1"/>
    <n v="25"/>
    <n v="25"/>
  </r>
  <r>
    <n v="990"/>
    <d v="2023-05-25T00:00:00"/>
    <x v="989"/>
    <s v="Female"/>
    <n v="58"/>
    <x v="1"/>
    <x v="0"/>
    <n v="2"/>
    <n v="500"/>
    <n v="1000"/>
  </r>
  <r>
    <n v="991"/>
    <d v="2023-12-26T00:00:00"/>
    <x v="990"/>
    <s v="Female"/>
    <n v="34"/>
    <x v="0"/>
    <x v="1"/>
    <n v="2"/>
    <n v="50"/>
    <n v="100"/>
  </r>
  <r>
    <n v="992"/>
    <d v="2023-08-21T00:00:00"/>
    <x v="991"/>
    <s v="Female"/>
    <n v="57"/>
    <x v="1"/>
    <x v="2"/>
    <n v="2"/>
    <n v="30"/>
    <n v="60"/>
  </r>
  <r>
    <n v="993"/>
    <d v="2023-02-06T00:00:00"/>
    <x v="992"/>
    <s v="Female"/>
    <n v="48"/>
    <x v="1"/>
    <x v="2"/>
    <n v="3"/>
    <n v="50"/>
    <n v="150"/>
  </r>
  <r>
    <n v="994"/>
    <d v="2023-12-18T00:00:00"/>
    <x v="993"/>
    <s v="Female"/>
    <n v="51"/>
    <x v="1"/>
    <x v="0"/>
    <n v="2"/>
    <n v="500"/>
    <n v="1000"/>
  </r>
  <r>
    <n v="995"/>
    <d v="2023-04-30T00:00:00"/>
    <x v="994"/>
    <s v="Female"/>
    <n v="41"/>
    <x v="1"/>
    <x v="1"/>
    <n v="1"/>
    <n v="30"/>
    <n v="30"/>
  </r>
  <r>
    <n v="996"/>
    <d v="2023-05-16T00:00:00"/>
    <x v="995"/>
    <s v="Male"/>
    <n v="62"/>
    <x v="1"/>
    <x v="1"/>
    <n v="1"/>
    <n v="50"/>
    <n v="50"/>
  </r>
  <r>
    <n v="997"/>
    <d v="2023-11-17T00:00:00"/>
    <x v="996"/>
    <s v="Male"/>
    <n v="52"/>
    <x v="1"/>
    <x v="0"/>
    <n v="3"/>
    <n v="30"/>
    <n v="90"/>
  </r>
  <r>
    <n v="998"/>
    <d v="2023-10-29T00:00:00"/>
    <x v="997"/>
    <s v="Female"/>
    <n v="23"/>
    <x v="2"/>
    <x v="0"/>
    <n v="4"/>
    <n v="25"/>
    <n v="100"/>
  </r>
  <r>
    <n v="999"/>
    <d v="2023-12-05T00:00:00"/>
    <x v="998"/>
    <s v="Female"/>
    <n v="36"/>
    <x v="0"/>
    <x v="2"/>
    <n v="3"/>
    <n v="50"/>
    <n v="150"/>
  </r>
  <r>
    <n v="1000"/>
    <d v="2023-04-12T00:00:00"/>
    <x v="999"/>
    <s v="Male"/>
    <n v="47"/>
    <x v="1"/>
    <x v="2"/>
    <n v="4"/>
    <n v="3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0B7D90-8F2A-4F75-9AC0-44DC1114E99F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Age category" colHeaderCaption="">
  <location ref="H2:L7" firstHeaderRow="1" firstDataRow="2" firstDataCol="1"/>
  <pivotFields count="10">
    <pivotField showAll="0"/>
    <pivotField numFmtId="14" showAll="0"/>
    <pivotField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Col" showAll="0">
      <items count="4">
        <item sd="0" x="0"/>
        <item sd="0" x="1"/>
        <item sd="0" x="2"/>
        <item t="default" sd="0"/>
      </items>
    </pivotField>
    <pivotField showAll="0"/>
    <pivotField showAll="0"/>
    <pivotField dataField="1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Task 4" fld="9" baseField="0" baseItem="0"/>
  </dataFields>
  <formats count="10">
    <format dxfId="48">
      <pivotArea type="all" dataOnly="0" outline="0" fieldPosition="0"/>
    </format>
    <format dxfId="47">
      <pivotArea outline="0" collapsedLevelsAreSubtotals="1" fieldPosition="0"/>
    </format>
    <format dxfId="46">
      <pivotArea type="origin" dataOnly="0" labelOnly="1" outline="0" fieldPosition="0"/>
    </format>
    <format dxfId="45">
      <pivotArea field="6" type="button" dataOnly="0" labelOnly="1" outline="0" axis="axisCol" fieldPosition="0"/>
    </format>
    <format dxfId="44">
      <pivotArea type="topRight" dataOnly="0" labelOnly="1" outline="0" fieldPosition="0"/>
    </format>
    <format dxfId="43">
      <pivotArea field="5" type="button" dataOnly="0" labelOnly="1" outline="0" axis="axisRow" fieldPosition="0"/>
    </format>
    <format dxfId="42">
      <pivotArea dataOnly="0" labelOnly="1" fieldPosition="0">
        <references count="1">
          <reference field="5" count="0"/>
        </references>
      </pivotArea>
    </format>
    <format dxfId="41">
      <pivotArea dataOnly="0" labelOnly="1" grandRow="1" outline="0" fieldPosition="0"/>
    </format>
    <format dxfId="40">
      <pivotArea dataOnly="0" labelOnly="1" fieldPosition="0">
        <references count="1">
          <reference field="6" count="0"/>
        </references>
      </pivotArea>
    </format>
    <format dxfId="39">
      <pivotArea dataOnly="0" labelOnly="1" grandCol="1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096766-107B-4A6E-8F0E-5BD3778783C1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Gender">
  <location ref="D3:F6" firstHeaderRow="0" firstDataRow="1" firstDataCol="1"/>
  <pivotFields count="10">
    <pivotField showAll="0"/>
    <pivotField numFmtId="14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dataField="1" showAll="0"/>
    <pivotField showAll="0"/>
    <pivotField dataField="1" showAll="0">
      <items count="19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Quantity" fld="7" baseField="3" baseItem="0"/>
    <dataField name="Total Sales" fld="9" baseField="3" baseItem="0"/>
  </dataFields>
  <formats count="7">
    <format dxfId="8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4">
      <pivotArea type="all" dataOnly="0" outline="0" fieldPosition="0"/>
    </format>
    <format dxfId="63">
      <pivotArea outline="0" collapsedLevelsAreSubtotals="1" fieldPosition="0"/>
    </format>
    <format dxfId="62">
      <pivotArea field="3" type="button" dataOnly="0" labelOnly="1" outline="0" axis="axisRow" fieldPosition="0"/>
    </format>
    <format dxfId="61">
      <pivotArea dataOnly="0" labelOnly="1" fieldPosition="0">
        <references count="1">
          <reference field="3" count="0"/>
        </references>
      </pivotArea>
    </format>
    <format dxfId="60">
      <pivotArea dataOnly="0" labelOnly="1" grandRow="1" outline="0" fieldPosition="0"/>
    </format>
    <format dxfId="5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8F16-3BFF-4B90-B928-EF5E9B8F051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Product Category">
  <location ref="A3:B7" firstHeaderRow="1" firstDataRow="1" firstDataCol="1"/>
  <pivotFields count="10">
    <pivotField showAll="0"/>
    <pivotField numFmtId="14" showAll="0"/>
    <pivotField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showAll="0"/>
    <pivotField showAll="0"/>
    <pivotField showAll="0"/>
    <pivotField axis="axisRow" showAll="0">
      <items count="4">
        <item sd="0" x="0"/>
        <item sd="0" x="1"/>
        <item sd="0" x="2"/>
        <item t="default" sd="0"/>
      </items>
    </pivotField>
    <pivotField showAll="0"/>
    <pivotField showAll="0"/>
    <pivotField dataField="1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9" baseField="6" baseItem="0"/>
  </dataFields>
  <formats count="7">
    <format dxfId="81">
      <pivotArea dataOnly="0" labelOnly="1" outline="0" axis="axisValues" fieldPosition="0"/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6" type="button" dataOnly="0" labelOnly="1" outline="0" axis="axisRow" fieldPosition="0"/>
    </format>
    <format dxfId="68">
      <pivotArea dataOnly="0" labelOnly="1" fieldPosition="0">
        <references count="1">
          <reference field="6" count="0"/>
        </references>
      </pivotArea>
    </format>
    <format dxfId="67">
      <pivotArea dataOnly="0" labelOnly="1" grandRow="1" outline="0" fieldPosition="0"/>
    </format>
    <format dxfId="66">
      <pivotArea dataOnly="0" labelOnly="1" outline="0" axis="axisValues" fieldPosition="0"/>
    </format>
  </format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D6E25C-783A-4B53-B0AC-D3EA8B18A5EC}" name="PivotTable1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Age Category" colHeaderCaption="">
  <location ref="J21:M26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Task 8" fld="2" subtotal="count" baseField="0" baseItem="0"/>
  </dataFields>
  <formats count="10">
    <format dxfId="58">
      <pivotArea type="all" dataOnly="0" outline="0" fieldPosition="0"/>
    </format>
    <format dxfId="57">
      <pivotArea outline="0" collapsedLevelsAreSubtotals="1" fieldPosition="0"/>
    </format>
    <format dxfId="56">
      <pivotArea type="origin" dataOnly="0" labelOnly="1" outline="0" fieldPosition="0"/>
    </format>
    <format dxfId="55">
      <pivotArea field="1" type="button" dataOnly="0" labelOnly="1" outline="0" axis="axisCol" fieldPosition="0"/>
    </format>
    <format dxfId="54">
      <pivotArea type="topRight" dataOnly="0" labelOnly="1" outline="0" fieldPosition="0"/>
    </format>
    <format dxfId="53">
      <pivotArea field="0" type="button" dataOnly="0" labelOnly="1" outline="0" axis="axisRow" fieldPosition="0"/>
    </format>
    <format dxfId="52">
      <pivotArea dataOnly="0" labelOnly="1" fieldPosition="0">
        <references count="1">
          <reference field="0" count="0"/>
        </references>
      </pivotArea>
    </format>
    <format dxfId="51">
      <pivotArea dataOnly="0" labelOnly="1" grandRow="1" outline="0" fieldPosition="0"/>
    </format>
    <format dxfId="50">
      <pivotArea dataOnly="0" labelOnly="1" fieldPosition="0">
        <references count="1">
          <reference field="1" count="0"/>
        </references>
      </pivotArea>
    </format>
    <format dxfId="49">
      <pivotArea dataOnly="0" labelOnly="1" grandCol="1" outline="0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Task 8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_sales_dataset_task shee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AAB071-4736-46CD-A9E9-0AB7FEE91ADF}" name="PivotTable1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Months">
  <location ref="N3:O16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Total Sales" fld="1" baseField="0" baseItem="0"/>
  </dataFields>
  <formats count="6"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0" type="button" dataOnly="0" labelOnly="1" outline="0" axis="axisRow" fieldPosition="0"/>
    </format>
    <format dxfId="35">
      <pivotArea dataOnly="0" labelOnly="1" fieldPosition="0">
        <references count="1">
          <reference field="0" count="0"/>
        </references>
      </pivotArea>
    </format>
    <format dxfId="34">
      <pivotArea dataOnly="0" labelOnly="1" grandRow="1" outline="0" fieldPosition="0"/>
    </format>
    <format dxfId="3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Total Sales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_sales_dataset_task shee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8A5F05-FB1F-4E4B-B37D-F1CDB65ECDDB}" name="Table1" displayName="Table1" ref="A1:L1001" totalsRowShown="0" headerRowDxfId="79" dataDxfId="78">
  <autoFilter ref="A1:L1001" xr:uid="{0E8A5F05-FB1F-4E4B-B37D-F1CDB65ECDDB}"/>
  <tableColumns count="12">
    <tableColumn id="1" xr3:uid="{CCF6F0E9-EA90-479C-AE73-7FEFA8BA737C}" name="Transaction ID" dataDxfId="77"/>
    <tableColumn id="2" xr3:uid="{205EA375-C4C6-4CE4-84C6-6D18482B6676}" name="Date" dataDxfId="5"/>
    <tableColumn id="13" xr3:uid="{50F3ED04-BF1B-44EE-B471-FD9E2213A434}" name="Month" dataDxfId="3">
      <calculatedColumnFormula>TEXT(B2,"mmmm")</calculatedColumnFormula>
    </tableColumn>
    <tableColumn id="3" xr3:uid="{F7686077-F954-4A2A-8934-B4DED6C83E78}" name="Customer ID" dataDxfId="4"/>
    <tableColumn id="4" xr3:uid="{945A6451-62D4-4F1B-9107-D697EB366ECB}" name="Gender" dataDxfId="76"/>
    <tableColumn id="5" xr3:uid="{27F80393-CA8D-4D5E-ADEB-CC8959A187E5}" name="Age" dataDxfId="2"/>
    <tableColumn id="12" xr3:uid="{C0C57729-E917-41AD-92CF-A3523A6ACE08}" name="Age Category" dataDxfId="0">
      <calculatedColumnFormula array="1">_xlfn.IFS(
    F2 &lt; 25, "Young",
    F2 &lt;= 40, "Mid-Age",
    F2 &gt; 40, "Old-Age"
)</calculatedColumnFormula>
    </tableColumn>
    <tableColumn id="6" xr3:uid="{9EF00239-2298-40CF-8632-D5541470B6C6}" name="Product Category" dataDxfId="1"/>
    <tableColumn id="7" xr3:uid="{79F92AFD-4C32-4B18-9AA4-E1A41EB777E8}" name="Quantity" dataDxfId="75"/>
    <tableColumn id="8" xr3:uid="{C524B60D-3914-4485-BBC8-27A7115827AF}" name="Price per Unit" dataDxfId="74"/>
    <tableColumn id="9" xr3:uid="{1946C65C-9476-45C4-9E4C-1ED7EC958C5F}" name="Total Amount" dataDxfId="73"/>
    <tableColumn id="14" xr3:uid="{AFE5006E-3000-4A88-8BCF-82444A91C810}" name="SKEW" dataDxfId="72">
      <calculatedColumnFormula>SKEW(J2:J1001)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9EF36-4F76-4853-9D4D-F76E3A9AC499}">
  <dimension ref="A3:B11"/>
  <sheetViews>
    <sheetView workbookViewId="0">
      <selection activeCell="B9" sqref="B9"/>
    </sheetView>
  </sheetViews>
  <sheetFormatPr defaultRowHeight="14.4" x14ac:dyDescent="0.3"/>
  <cols>
    <col min="1" max="1" width="5" bestFit="1" customWidth="1"/>
    <col min="2" max="2" width="121.109375" bestFit="1" customWidth="1"/>
  </cols>
  <sheetData>
    <row r="3" spans="1:2" x14ac:dyDescent="0.3">
      <c r="A3" s="2" t="s">
        <v>1022</v>
      </c>
      <c r="B3" s="2" t="s">
        <v>1014</v>
      </c>
    </row>
    <row r="4" spans="1:2" x14ac:dyDescent="0.3">
      <c r="A4" s="1">
        <v>1</v>
      </c>
      <c r="B4" s="1" t="s">
        <v>1015</v>
      </c>
    </row>
    <row r="5" spans="1:2" x14ac:dyDescent="0.3">
      <c r="A5" s="1">
        <v>2</v>
      </c>
      <c r="B5" s="1" t="s">
        <v>1016</v>
      </c>
    </row>
    <row r="6" spans="1:2" x14ac:dyDescent="0.3">
      <c r="A6" s="1">
        <v>3</v>
      </c>
      <c r="B6" s="1" t="s">
        <v>1017</v>
      </c>
    </row>
    <row r="7" spans="1:2" x14ac:dyDescent="0.3">
      <c r="A7" s="1">
        <v>4</v>
      </c>
      <c r="B7" s="1" t="s">
        <v>1018</v>
      </c>
    </row>
    <row r="8" spans="1:2" x14ac:dyDescent="0.3">
      <c r="A8" s="1">
        <v>5</v>
      </c>
      <c r="B8" s="1" t="s">
        <v>1019</v>
      </c>
    </row>
    <row r="9" spans="1:2" x14ac:dyDescent="0.3">
      <c r="A9" s="1">
        <v>6</v>
      </c>
      <c r="B9" s="1" t="s">
        <v>1020</v>
      </c>
    </row>
    <row r="10" spans="1:2" x14ac:dyDescent="0.3">
      <c r="A10" s="1">
        <v>7</v>
      </c>
      <c r="B10" s="1" t="s">
        <v>1021</v>
      </c>
    </row>
    <row r="11" spans="1:2" x14ac:dyDescent="0.3">
      <c r="A11" s="1">
        <v>8</v>
      </c>
      <c r="B11" s="1" t="s">
        <v>1023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47972-533D-408E-B67F-971FBFA7B4CE}">
  <dimension ref="A2:O26"/>
  <sheetViews>
    <sheetView zoomScale="89" workbookViewId="0">
      <selection activeCell="P21" sqref="P21"/>
    </sheetView>
  </sheetViews>
  <sheetFormatPr defaultRowHeight="14.4" x14ac:dyDescent="0.3"/>
  <cols>
    <col min="1" max="1" width="16.88671875" customWidth="1"/>
    <col min="2" max="2" width="9.88671875" bestFit="1" customWidth="1"/>
    <col min="3" max="3" width="8.44140625" customWidth="1"/>
    <col min="4" max="4" width="10.77734375" bestFit="1" customWidth="1"/>
    <col min="5" max="5" width="13.109375" bestFit="1" customWidth="1"/>
    <col min="6" max="6" width="9.88671875" bestFit="1" customWidth="1"/>
    <col min="7" max="7" width="8.44140625" customWidth="1"/>
    <col min="8" max="8" width="12.88671875" customWidth="1"/>
    <col min="9" max="9" width="13.44140625" customWidth="1"/>
    <col min="10" max="10" width="13.6640625" customWidth="1"/>
    <col min="11" max="11" width="9.33203125" customWidth="1"/>
    <col min="12" max="12" width="10.77734375" bestFit="1" customWidth="1"/>
    <col min="13" max="13" width="11" customWidth="1"/>
    <col min="14" max="14" width="12.5546875" bestFit="1" customWidth="1"/>
    <col min="15" max="15" width="9.88671875" bestFit="1" customWidth="1"/>
    <col min="16" max="106" width="8.44140625" bestFit="1" customWidth="1"/>
    <col min="107" max="107" width="9.44140625" bestFit="1" customWidth="1"/>
    <col min="108" max="1006" width="8.44140625" bestFit="1" customWidth="1"/>
    <col min="1007" max="1007" width="10.77734375" bestFit="1" customWidth="1"/>
  </cols>
  <sheetData>
    <row r="2" spans="1:15" x14ac:dyDescent="0.3">
      <c r="A2" s="5" t="s">
        <v>1046</v>
      </c>
      <c r="B2" s="5"/>
      <c r="D2" s="5" t="s">
        <v>1047</v>
      </c>
      <c r="E2" s="5"/>
      <c r="F2" s="5"/>
      <c r="H2" s="6" t="s">
        <v>1048</v>
      </c>
      <c r="I2" s="6" t="s">
        <v>1043</v>
      </c>
      <c r="J2" s="3"/>
      <c r="K2" s="3"/>
      <c r="L2" s="3"/>
      <c r="N2" s="5" t="s">
        <v>1050</v>
      </c>
      <c r="O2" s="5"/>
    </row>
    <row r="3" spans="1:15" x14ac:dyDescent="0.3">
      <c r="A3" s="6" t="s">
        <v>5</v>
      </c>
      <c r="B3" s="7" t="s">
        <v>1045</v>
      </c>
      <c r="D3" s="6" t="s">
        <v>3</v>
      </c>
      <c r="E3" s="3" t="s">
        <v>1049</v>
      </c>
      <c r="F3" s="7" t="s">
        <v>1045</v>
      </c>
      <c r="H3" s="6" t="s">
        <v>1024</v>
      </c>
      <c r="I3" s="3" t="s">
        <v>11</v>
      </c>
      <c r="J3" s="3" t="s">
        <v>14</v>
      </c>
      <c r="K3" s="3" t="s">
        <v>16</v>
      </c>
      <c r="L3" s="3" t="s">
        <v>1025</v>
      </c>
      <c r="N3" s="6" t="s">
        <v>1052</v>
      </c>
      <c r="O3" s="3" t="s">
        <v>1045</v>
      </c>
    </row>
    <row r="4" spans="1:15" x14ac:dyDescent="0.3">
      <c r="A4" s="3" t="s">
        <v>11</v>
      </c>
      <c r="B4" s="3">
        <v>143515</v>
      </c>
      <c r="D4" s="3" t="s">
        <v>13</v>
      </c>
      <c r="E4" s="3">
        <v>1298</v>
      </c>
      <c r="F4" s="3">
        <v>232840</v>
      </c>
      <c r="H4" s="3" t="s">
        <v>1027</v>
      </c>
      <c r="I4" s="3">
        <v>49630</v>
      </c>
      <c r="J4" s="3">
        <v>57760</v>
      </c>
      <c r="K4" s="3">
        <v>46855</v>
      </c>
      <c r="L4" s="3">
        <v>154245</v>
      </c>
      <c r="N4" s="3" t="s">
        <v>1034</v>
      </c>
      <c r="O4" s="3">
        <v>33870</v>
      </c>
    </row>
    <row r="5" spans="1:15" x14ac:dyDescent="0.3">
      <c r="A5" s="3" t="s">
        <v>14</v>
      </c>
      <c r="B5" s="3">
        <v>155580</v>
      </c>
      <c r="D5" s="3" t="s">
        <v>10</v>
      </c>
      <c r="E5" s="3">
        <v>1216</v>
      </c>
      <c r="F5" s="3">
        <v>223160</v>
      </c>
      <c r="H5" s="3" t="s">
        <v>1028</v>
      </c>
      <c r="I5" s="3">
        <v>64980</v>
      </c>
      <c r="J5" s="3">
        <v>75660</v>
      </c>
      <c r="K5" s="3">
        <v>86465</v>
      </c>
      <c r="L5" s="3">
        <v>227105</v>
      </c>
      <c r="N5" s="3" t="s">
        <v>1038</v>
      </c>
      <c r="O5" s="3">
        <v>36960</v>
      </c>
    </row>
    <row r="6" spans="1:15" x14ac:dyDescent="0.3">
      <c r="A6" s="3" t="s">
        <v>16</v>
      </c>
      <c r="B6" s="3">
        <v>156905</v>
      </c>
      <c r="D6" s="3" t="s">
        <v>1025</v>
      </c>
      <c r="E6" s="3">
        <v>2514</v>
      </c>
      <c r="F6" s="3">
        <v>456000</v>
      </c>
      <c r="H6" s="3" t="s">
        <v>1029</v>
      </c>
      <c r="I6" s="3">
        <v>28905</v>
      </c>
      <c r="J6" s="3">
        <v>22160</v>
      </c>
      <c r="K6" s="3">
        <v>23585</v>
      </c>
      <c r="L6" s="3">
        <v>74650</v>
      </c>
      <c r="N6" s="3" t="s">
        <v>1042</v>
      </c>
      <c r="O6" s="3">
        <v>44690</v>
      </c>
    </row>
    <row r="7" spans="1:15" x14ac:dyDescent="0.3">
      <c r="A7" s="3" t="s">
        <v>1025</v>
      </c>
      <c r="B7" s="3">
        <v>456000</v>
      </c>
      <c r="H7" s="3" t="s">
        <v>1025</v>
      </c>
      <c r="I7" s="3">
        <v>143515</v>
      </c>
      <c r="J7" s="3">
        <v>155580</v>
      </c>
      <c r="K7" s="3">
        <v>156905</v>
      </c>
      <c r="L7" s="3">
        <v>456000</v>
      </c>
      <c r="N7" s="3" t="s">
        <v>1032</v>
      </c>
      <c r="O7" s="3">
        <v>44060</v>
      </c>
    </row>
    <row r="8" spans="1:15" x14ac:dyDescent="0.3">
      <c r="N8" s="3" t="s">
        <v>1031</v>
      </c>
      <c r="O8" s="3">
        <v>36980</v>
      </c>
    </row>
    <row r="9" spans="1:15" x14ac:dyDescent="0.3">
      <c r="N9" s="3" t="s">
        <v>1037</v>
      </c>
      <c r="O9" s="3">
        <v>35465</v>
      </c>
    </row>
    <row r="10" spans="1:15" x14ac:dyDescent="0.3">
      <c r="N10" s="3" t="s">
        <v>1036</v>
      </c>
      <c r="O10" s="3">
        <v>36715</v>
      </c>
    </row>
    <row r="11" spans="1:15" x14ac:dyDescent="0.3">
      <c r="N11" s="3" t="s">
        <v>1033</v>
      </c>
      <c r="O11" s="3">
        <v>28990</v>
      </c>
    </row>
    <row r="12" spans="1:15" x14ac:dyDescent="0.3">
      <c r="N12" s="3" t="s">
        <v>1035</v>
      </c>
      <c r="O12" s="3">
        <v>53150</v>
      </c>
    </row>
    <row r="13" spans="1:15" x14ac:dyDescent="0.3">
      <c r="N13" s="3" t="s">
        <v>1041</v>
      </c>
      <c r="O13" s="3">
        <v>34920</v>
      </c>
    </row>
    <row r="14" spans="1:15" x14ac:dyDescent="0.3">
      <c r="N14" s="3" t="s">
        <v>1040</v>
      </c>
      <c r="O14" s="3">
        <v>46580</v>
      </c>
    </row>
    <row r="15" spans="1:15" x14ac:dyDescent="0.3">
      <c r="N15" s="3" t="s">
        <v>1039</v>
      </c>
      <c r="O15" s="3">
        <v>23620</v>
      </c>
    </row>
    <row r="16" spans="1:15" x14ac:dyDescent="0.3">
      <c r="N16" s="3" t="s">
        <v>1025</v>
      </c>
      <c r="O16" s="3">
        <v>456000</v>
      </c>
    </row>
    <row r="21" spans="10:13" x14ac:dyDescent="0.3">
      <c r="J21" s="6" t="s">
        <v>1044</v>
      </c>
      <c r="K21" s="6" t="s">
        <v>1043</v>
      </c>
      <c r="L21" s="3"/>
      <c r="M21" s="3"/>
    </row>
    <row r="22" spans="10:13" x14ac:dyDescent="0.3">
      <c r="J22" s="6" t="s">
        <v>1026</v>
      </c>
      <c r="K22" s="3" t="s">
        <v>13</v>
      </c>
      <c r="L22" s="3" t="s">
        <v>10</v>
      </c>
      <c r="M22" s="3" t="s">
        <v>1025</v>
      </c>
    </row>
    <row r="23" spans="10:13" x14ac:dyDescent="0.3">
      <c r="J23" s="3" t="s">
        <v>1027</v>
      </c>
      <c r="K23" s="3">
        <v>164</v>
      </c>
      <c r="L23" s="3">
        <v>153</v>
      </c>
      <c r="M23" s="3">
        <v>317</v>
      </c>
    </row>
    <row r="24" spans="10:13" x14ac:dyDescent="0.3">
      <c r="J24" s="3" t="s">
        <v>1028</v>
      </c>
      <c r="K24" s="3">
        <v>274</v>
      </c>
      <c r="L24" s="3">
        <v>260</v>
      </c>
      <c r="M24" s="3">
        <v>534</v>
      </c>
    </row>
    <row r="25" spans="10:13" x14ac:dyDescent="0.3">
      <c r="J25" s="3" t="s">
        <v>1029</v>
      </c>
      <c r="K25" s="3">
        <v>72</v>
      </c>
      <c r="L25" s="3">
        <v>77</v>
      </c>
      <c r="M25" s="3">
        <v>149</v>
      </c>
    </row>
    <row r="26" spans="10:13" x14ac:dyDescent="0.3">
      <c r="J26" s="3" t="s">
        <v>1025</v>
      </c>
      <c r="K26" s="3">
        <v>510</v>
      </c>
      <c r="L26" s="3">
        <v>490</v>
      </c>
      <c r="M26" s="3">
        <v>1000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5E770-ACB3-4B46-A11A-33E4DE01FC14}">
  <dimension ref="A1:L1001"/>
  <sheetViews>
    <sheetView tabSelected="1" zoomScale="73" zoomScaleNormal="110" workbookViewId="0">
      <selection activeCell="M3" sqref="M3"/>
    </sheetView>
  </sheetViews>
  <sheetFormatPr defaultColWidth="15.6640625" defaultRowHeight="14.4" x14ac:dyDescent="0.3"/>
  <cols>
    <col min="5" max="5" width="11" customWidth="1"/>
    <col min="7" max="7" width="15.6640625" customWidth="1"/>
  </cols>
  <sheetData>
    <row r="1" spans="1:12" x14ac:dyDescent="0.3">
      <c r="A1" s="3" t="s">
        <v>0</v>
      </c>
      <c r="B1" s="3" t="s">
        <v>1</v>
      </c>
      <c r="C1" s="8" t="s">
        <v>1030</v>
      </c>
      <c r="D1" s="3" t="s">
        <v>2</v>
      </c>
      <c r="E1" s="3" t="s">
        <v>3</v>
      </c>
      <c r="F1" s="3" t="s">
        <v>4</v>
      </c>
      <c r="G1" s="8" t="s">
        <v>1026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1051</v>
      </c>
    </row>
    <row r="2" spans="1:12" x14ac:dyDescent="0.3">
      <c r="A2" s="3">
        <v>1</v>
      </c>
      <c r="B2" s="4">
        <v>45254</v>
      </c>
      <c r="C2" s="9" t="str">
        <f t="shared" ref="C2:C65" si="0">TEXT(B2,"mmmm")</f>
        <v>November</v>
      </c>
      <c r="D2" s="3" t="s">
        <v>9</v>
      </c>
      <c r="E2" s="3" t="s">
        <v>10</v>
      </c>
      <c r="F2" s="3">
        <v>34</v>
      </c>
      <c r="G2" s="8" t="str" cm="1">
        <f t="array" ref="G2">_xlfn.IFS(
    F2 &lt; 25, "Young",
    F2 &lt;= 40, "Mid-Age",
    F2 &gt; 40, "Old-Age"
)</f>
        <v>Mid-Age</v>
      </c>
      <c r="H2" s="3" t="s">
        <v>11</v>
      </c>
      <c r="I2" s="3">
        <v>3</v>
      </c>
      <c r="J2" s="3">
        <v>50</v>
      </c>
      <c r="K2" s="3">
        <v>150</v>
      </c>
      <c r="L2" s="3">
        <f t="shared" ref="L2:L65" si="1">SKEW(J2:J1001)</f>
        <v>0.73630777806655667</v>
      </c>
    </row>
    <row r="3" spans="1:12" x14ac:dyDescent="0.3">
      <c r="A3" s="3">
        <v>2</v>
      </c>
      <c r="B3" s="4">
        <v>44984</v>
      </c>
      <c r="C3" s="9" t="str">
        <f t="shared" si="0"/>
        <v>February</v>
      </c>
      <c r="D3" s="3" t="s">
        <v>12</v>
      </c>
      <c r="E3" s="3" t="s">
        <v>13</v>
      </c>
      <c r="F3" s="3">
        <v>26</v>
      </c>
      <c r="G3" s="8" t="str" cm="1">
        <f t="array" ref="G3">_xlfn.IFS(
    F3 &lt; 25, "Young",
    F3 &lt;= 40, "Mid-Age",
    F3 &gt; 40, "Old-Age"
)</f>
        <v>Mid-Age</v>
      </c>
      <c r="H3" s="3" t="s">
        <v>14</v>
      </c>
      <c r="I3" s="3">
        <v>2</v>
      </c>
      <c r="J3" s="3">
        <v>500</v>
      </c>
      <c r="K3" s="3">
        <v>1000</v>
      </c>
      <c r="L3" s="3">
        <f t="shared" si="1"/>
        <v>0.73472179850319796</v>
      </c>
    </row>
    <row r="4" spans="1:12" x14ac:dyDescent="0.3">
      <c r="A4" s="3">
        <v>3</v>
      </c>
      <c r="B4" s="4">
        <v>44939</v>
      </c>
      <c r="C4" s="9" t="str">
        <f t="shared" si="0"/>
        <v>January</v>
      </c>
      <c r="D4" s="3" t="s">
        <v>15</v>
      </c>
      <c r="E4" s="3" t="s">
        <v>10</v>
      </c>
      <c r="F4" s="3">
        <v>50</v>
      </c>
      <c r="G4" s="8" t="str" cm="1">
        <f t="array" ref="G4">_xlfn.IFS(
    F4 &lt; 25, "Young",
    F4 &lt;= 40, "Mid-Age",
    F4 &gt; 40, "Old-Age"
)</f>
        <v>Old-Age</v>
      </c>
      <c r="H4" s="3" t="s">
        <v>16</v>
      </c>
      <c r="I4" s="3">
        <v>1</v>
      </c>
      <c r="J4" s="3">
        <v>30</v>
      </c>
      <c r="K4" s="3">
        <v>30</v>
      </c>
      <c r="L4" s="3">
        <f t="shared" si="1"/>
        <v>0.737758979180835</v>
      </c>
    </row>
    <row r="5" spans="1:12" x14ac:dyDescent="0.3">
      <c r="A5" s="3">
        <v>4</v>
      </c>
      <c r="B5" s="4">
        <v>45067</v>
      </c>
      <c r="C5" s="9" t="str">
        <f t="shared" si="0"/>
        <v>May</v>
      </c>
      <c r="D5" s="3" t="s">
        <v>17</v>
      </c>
      <c r="E5" s="3" t="s">
        <v>10</v>
      </c>
      <c r="F5" s="3">
        <v>37</v>
      </c>
      <c r="G5" s="8" t="str" cm="1">
        <f t="array" ref="G5">_xlfn.IFS(
    F5 &lt; 25, "Young",
    F5 &lt;= 40, "Mid-Age",
    F5 &gt; 40, "Old-Age"
)</f>
        <v>Mid-Age</v>
      </c>
      <c r="H5" s="3" t="s">
        <v>14</v>
      </c>
      <c r="I5" s="3">
        <v>1</v>
      </c>
      <c r="J5" s="3">
        <v>500</v>
      </c>
      <c r="K5" s="3">
        <v>500</v>
      </c>
      <c r="L5" s="3">
        <f t="shared" si="1"/>
        <v>0.73619811353420939</v>
      </c>
    </row>
    <row r="6" spans="1:12" x14ac:dyDescent="0.3">
      <c r="A6" s="3">
        <v>5</v>
      </c>
      <c r="B6" s="4">
        <v>45052</v>
      </c>
      <c r="C6" s="9" t="str">
        <f t="shared" si="0"/>
        <v>May</v>
      </c>
      <c r="D6" s="3" t="s">
        <v>18</v>
      </c>
      <c r="E6" s="3" t="s">
        <v>10</v>
      </c>
      <c r="F6" s="3">
        <v>30</v>
      </c>
      <c r="G6" s="8" t="str" cm="1">
        <f t="array" ref="G6">_xlfn.IFS(
    F6 &lt; 25, "Young",
    F6 &lt;= 40, "Mid-Age",
    F6 &gt; 40, "Old-Age"
)</f>
        <v>Mid-Age</v>
      </c>
      <c r="H6" s="3" t="s">
        <v>11</v>
      </c>
      <c r="I6" s="3">
        <v>2</v>
      </c>
      <c r="J6" s="3">
        <v>50</v>
      </c>
      <c r="K6" s="3">
        <v>100</v>
      </c>
      <c r="L6" s="3">
        <f t="shared" si="1"/>
        <v>0.73924303337655672</v>
      </c>
    </row>
    <row r="7" spans="1:12" x14ac:dyDescent="0.3">
      <c r="A7" s="3">
        <v>6</v>
      </c>
      <c r="B7" s="4">
        <v>45041</v>
      </c>
      <c r="C7" s="9" t="str">
        <f t="shared" si="0"/>
        <v>April</v>
      </c>
      <c r="D7" s="3" t="s">
        <v>19</v>
      </c>
      <c r="E7" s="3" t="s">
        <v>13</v>
      </c>
      <c r="F7" s="3">
        <v>45</v>
      </c>
      <c r="G7" s="8" t="str" cm="1">
        <f t="array" ref="G7">_xlfn.IFS(
    F7 &lt; 25, "Young",
    F7 &lt;= 40, "Mid-Age",
    F7 &gt; 40, "Old-Age"
)</f>
        <v>Old-Age</v>
      </c>
      <c r="H7" s="3" t="s">
        <v>11</v>
      </c>
      <c r="I7" s="3">
        <v>1</v>
      </c>
      <c r="J7" s="3">
        <v>30</v>
      </c>
      <c r="K7" s="3">
        <v>30</v>
      </c>
      <c r="L7" s="3">
        <f t="shared" si="1"/>
        <v>0.73765135627708744</v>
      </c>
    </row>
    <row r="8" spans="1:12" x14ac:dyDescent="0.3">
      <c r="A8" s="3">
        <v>7</v>
      </c>
      <c r="B8" s="4">
        <v>44998</v>
      </c>
      <c r="C8" s="9" t="str">
        <f t="shared" si="0"/>
        <v>March</v>
      </c>
      <c r="D8" s="3" t="s">
        <v>20</v>
      </c>
      <c r="E8" s="3" t="s">
        <v>10</v>
      </c>
      <c r="F8" s="3">
        <v>46</v>
      </c>
      <c r="G8" s="8" t="str" cm="1">
        <f t="array" ref="G8">_xlfn.IFS(
    F8 &lt; 25, "Young",
    F8 &lt;= 40, "Mid-Age",
    F8 &gt; 40, "Old-Age"
)</f>
        <v>Old-Age</v>
      </c>
      <c r="H8" s="3" t="s">
        <v>14</v>
      </c>
      <c r="I8" s="3">
        <v>2</v>
      </c>
      <c r="J8" s="3">
        <v>25</v>
      </c>
      <c r="K8" s="3">
        <v>50</v>
      </c>
      <c r="L8" s="3">
        <f t="shared" si="1"/>
        <v>0.73608582946562107</v>
      </c>
    </row>
    <row r="9" spans="1:12" x14ac:dyDescent="0.3">
      <c r="A9" s="3">
        <v>8</v>
      </c>
      <c r="B9" s="4">
        <v>44979</v>
      </c>
      <c r="C9" s="9" t="str">
        <f t="shared" si="0"/>
        <v>February</v>
      </c>
      <c r="D9" s="3" t="s">
        <v>21</v>
      </c>
      <c r="E9" s="3" t="s">
        <v>10</v>
      </c>
      <c r="F9" s="3">
        <v>30</v>
      </c>
      <c r="G9" s="8" t="str" cm="1">
        <f t="array" ref="G9">_xlfn.IFS(
    F9 &lt; 25, "Young",
    F9 &lt;= 40, "Mid-Age",
    F9 &gt; 40, "Old-Age"
)</f>
        <v>Mid-Age</v>
      </c>
      <c r="H9" s="3" t="s">
        <v>16</v>
      </c>
      <c r="I9" s="3">
        <v>4</v>
      </c>
      <c r="J9" s="3">
        <v>25</v>
      </c>
      <c r="K9" s="3">
        <v>100</v>
      </c>
      <c r="L9" s="3">
        <f t="shared" si="1"/>
        <v>0.73453744527635534</v>
      </c>
    </row>
    <row r="10" spans="1:12" x14ac:dyDescent="0.3">
      <c r="A10" s="3">
        <v>9</v>
      </c>
      <c r="B10" s="4">
        <v>45273</v>
      </c>
      <c r="C10" s="9" t="str">
        <f t="shared" si="0"/>
        <v>December</v>
      </c>
      <c r="D10" s="3" t="s">
        <v>22</v>
      </c>
      <c r="E10" s="3" t="s">
        <v>10</v>
      </c>
      <c r="F10" s="3">
        <v>63</v>
      </c>
      <c r="G10" s="8" t="str" cm="1">
        <f t="array" ref="G10">_xlfn.IFS(
    F10 &lt; 25, "Young",
    F10 &lt;= 40, "Mid-Age",
    F10 &gt; 40, "Old-Age"
)</f>
        <v>Old-Age</v>
      </c>
      <c r="H10" s="3" t="s">
        <v>16</v>
      </c>
      <c r="I10" s="3">
        <v>2</v>
      </c>
      <c r="J10" s="3">
        <v>300</v>
      </c>
      <c r="K10" s="3">
        <v>600</v>
      </c>
      <c r="L10" s="3">
        <f t="shared" si="1"/>
        <v>0.73298727062585156</v>
      </c>
    </row>
    <row r="11" spans="1:12" x14ac:dyDescent="0.3">
      <c r="A11" s="3">
        <v>10</v>
      </c>
      <c r="B11" s="4">
        <v>45206</v>
      </c>
      <c r="C11" s="9" t="str">
        <f t="shared" si="0"/>
        <v>October</v>
      </c>
      <c r="D11" s="3" t="s">
        <v>23</v>
      </c>
      <c r="E11" s="3" t="s">
        <v>13</v>
      </c>
      <c r="F11" s="3">
        <v>52</v>
      </c>
      <c r="G11" s="8" t="str" cm="1">
        <f t="array" ref="G11">_xlfn.IFS(
    F11 &lt; 25, "Young",
    F11 &lt;= 40, "Mid-Age",
    F11 &gt; 40, "Old-Age"
)</f>
        <v>Old-Age</v>
      </c>
      <c r="H11" s="3" t="s">
        <v>14</v>
      </c>
      <c r="I11" s="3">
        <v>4</v>
      </c>
      <c r="J11" s="3">
        <v>50</v>
      </c>
      <c r="K11" s="3">
        <v>200</v>
      </c>
      <c r="L11" s="3">
        <f t="shared" si="1"/>
        <v>0.73472494305837943</v>
      </c>
    </row>
    <row r="12" spans="1:12" x14ac:dyDescent="0.3">
      <c r="A12" s="3">
        <v>11</v>
      </c>
      <c r="B12" s="4">
        <v>44971</v>
      </c>
      <c r="C12" s="9" t="str">
        <f t="shared" si="0"/>
        <v>February</v>
      </c>
      <c r="D12" s="3" t="s">
        <v>24</v>
      </c>
      <c r="E12" s="3" t="s">
        <v>10</v>
      </c>
      <c r="F12" s="3">
        <v>23</v>
      </c>
      <c r="G12" s="8" t="str" cm="1">
        <f t="array" ref="G12">_xlfn.IFS(
    F12 &lt; 25, "Young",
    F12 &lt;= 40, "Mid-Age",
    F12 &gt; 40, "Old-Age"
)</f>
        <v>Young</v>
      </c>
      <c r="H12" s="3" t="s">
        <v>14</v>
      </c>
      <c r="I12" s="3">
        <v>2</v>
      </c>
      <c r="J12" s="3">
        <v>50</v>
      </c>
      <c r="K12" s="3">
        <v>100</v>
      </c>
      <c r="L12" s="3">
        <f t="shared" si="1"/>
        <v>0.73312414210377042</v>
      </c>
    </row>
    <row r="13" spans="1:12" x14ac:dyDescent="0.3">
      <c r="A13" s="3">
        <v>12</v>
      </c>
      <c r="B13" s="4">
        <v>45229</v>
      </c>
      <c r="C13" s="9" t="str">
        <f t="shared" si="0"/>
        <v>October</v>
      </c>
      <c r="D13" s="3" t="s">
        <v>25</v>
      </c>
      <c r="E13" s="3" t="s">
        <v>10</v>
      </c>
      <c r="F13" s="3">
        <v>35</v>
      </c>
      <c r="G13" s="8" t="str" cm="1">
        <f t="array" ref="G13">_xlfn.IFS(
    F13 &lt; 25, "Young",
    F13 &lt;= 40, "Mid-Age",
    F13 &gt; 40, "Old-Age"
)</f>
        <v>Mid-Age</v>
      </c>
      <c r="H13" s="3" t="s">
        <v>11</v>
      </c>
      <c r="I13" s="3">
        <v>3</v>
      </c>
      <c r="J13" s="3">
        <v>25</v>
      </c>
      <c r="K13" s="3">
        <v>75</v>
      </c>
      <c r="L13" s="3">
        <f t="shared" si="1"/>
        <v>0.73152134382256662</v>
      </c>
    </row>
    <row r="14" spans="1:12" x14ac:dyDescent="0.3">
      <c r="A14" s="3">
        <v>13</v>
      </c>
      <c r="B14" s="4">
        <v>45143</v>
      </c>
      <c r="C14" s="9" t="str">
        <f t="shared" si="0"/>
        <v>August</v>
      </c>
      <c r="D14" s="3" t="s">
        <v>26</v>
      </c>
      <c r="E14" s="3" t="s">
        <v>10</v>
      </c>
      <c r="F14" s="3">
        <v>22</v>
      </c>
      <c r="G14" s="8" t="str" cm="1">
        <f t="array" ref="G14">_xlfn.IFS(
    F14 &lt; 25, "Young",
    F14 &lt;= 40, "Mid-Age",
    F14 &gt; 40, "Old-Age"
)</f>
        <v>Young</v>
      </c>
      <c r="H14" s="3" t="s">
        <v>16</v>
      </c>
      <c r="I14" s="3">
        <v>3</v>
      </c>
      <c r="J14" s="3">
        <v>500</v>
      </c>
      <c r="K14" s="3">
        <v>1500</v>
      </c>
      <c r="L14" s="3">
        <f t="shared" si="1"/>
        <v>0.72996395677341153</v>
      </c>
    </row>
    <row r="15" spans="1:12" x14ac:dyDescent="0.3">
      <c r="A15" s="3">
        <v>14</v>
      </c>
      <c r="B15" s="4">
        <v>44943</v>
      </c>
      <c r="C15" s="9" t="str">
        <f t="shared" si="0"/>
        <v>January</v>
      </c>
      <c r="D15" s="3" t="s">
        <v>27</v>
      </c>
      <c r="E15" s="3" t="s">
        <v>10</v>
      </c>
      <c r="F15" s="3">
        <v>64</v>
      </c>
      <c r="G15" s="8" t="str" cm="1">
        <f t="array" ref="G15">_xlfn.IFS(
    F15 &lt; 25, "Young",
    F15 &lt;= 40, "Mid-Age",
    F15 &gt; 40, "Old-Age"
)</f>
        <v>Old-Age</v>
      </c>
      <c r="H15" s="3" t="s">
        <v>14</v>
      </c>
      <c r="I15" s="3">
        <v>4</v>
      </c>
      <c r="J15" s="3">
        <v>30</v>
      </c>
      <c r="K15" s="3">
        <v>120</v>
      </c>
      <c r="L15" s="3">
        <f t="shared" si="1"/>
        <v>0.73302111464464237</v>
      </c>
    </row>
    <row r="16" spans="1:12" x14ac:dyDescent="0.3">
      <c r="A16" s="3">
        <v>15</v>
      </c>
      <c r="B16" s="4">
        <v>44942</v>
      </c>
      <c r="C16" s="9" t="str">
        <f t="shared" si="0"/>
        <v>January</v>
      </c>
      <c r="D16" s="3" t="s">
        <v>28</v>
      </c>
      <c r="E16" s="3" t="s">
        <v>13</v>
      </c>
      <c r="F16" s="3">
        <v>42</v>
      </c>
      <c r="G16" s="8" t="str" cm="1">
        <f t="array" ref="G16">_xlfn.IFS(
    F16 &lt; 25, "Young",
    F16 &lt;= 40, "Mid-Age",
    F16 &gt; 40, "Old-Age"
)</f>
        <v>Old-Age</v>
      </c>
      <c r="H16" s="3" t="s">
        <v>16</v>
      </c>
      <c r="I16" s="3">
        <v>4</v>
      </c>
      <c r="J16" s="3">
        <v>500</v>
      </c>
      <c r="K16" s="3">
        <v>2000</v>
      </c>
      <c r="L16" s="3">
        <f t="shared" si="1"/>
        <v>0.73144196961624164</v>
      </c>
    </row>
    <row r="17" spans="1:12" x14ac:dyDescent="0.3">
      <c r="A17" s="3">
        <v>16</v>
      </c>
      <c r="B17" s="4">
        <v>44974</v>
      </c>
      <c r="C17" s="9" t="str">
        <f t="shared" si="0"/>
        <v>February</v>
      </c>
      <c r="D17" s="3" t="s">
        <v>29</v>
      </c>
      <c r="E17" s="3" t="s">
        <v>10</v>
      </c>
      <c r="F17" s="3">
        <v>19</v>
      </c>
      <c r="G17" s="8" t="str" cm="1">
        <f t="array" ref="G17">_xlfn.IFS(
    F17 &lt; 25, "Young",
    F17 &lt;= 40, "Mid-Age",
    F17 &gt; 40, "Old-Age"
)</f>
        <v>Young</v>
      </c>
      <c r="H17" s="3" t="s">
        <v>14</v>
      </c>
      <c r="I17" s="3">
        <v>3</v>
      </c>
      <c r="J17" s="3">
        <v>500</v>
      </c>
      <c r="K17" s="3">
        <v>1500</v>
      </c>
      <c r="L17" s="3">
        <f t="shared" si="1"/>
        <v>0.73450694352388979</v>
      </c>
    </row>
    <row r="18" spans="1:12" x14ac:dyDescent="0.3">
      <c r="A18" s="3">
        <v>17</v>
      </c>
      <c r="B18" s="4">
        <v>45038</v>
      </c>
      <c r="C18" s="9" t="str">
        <f t="shared" si="0"/>
        <v>April</v>
      </c>
      <c r="D18" s="3" t="s">
        <v>30</v>
      </c>
      <c r="E18" s="3" t="s">
        <v>13</v>
      </c>
      <c r="F18" s="3">
        <v>27</v>
      </c>
      <c r="G18" s="8" t="str" cm="1">
        <f t="array" ref="G18">_xlfn.IFS(
    F18 &lt; 25, "Young",
    F18 &lt;= 40, "Mid-Age",
    F18 &gt; 40, "Old-Age"
)</f>
        <v>Mid-Age</v>
      </c>
      <c r="H18" s="3" t="s">
        <v>14</v>
      </c>
      <c r="I18" s="3">
        <v>4</v>
      </c>
      <c r="J18" s="3">
        <v>25</v>
      </c>
      <c r="K18" s="3">
        <v>100</v>
      </c>
      <c r="L18" s="3">
        <f t="shared" si="1"/>
        <v>0.73758059904395168</v>
      </c>
    </row>
    <row r="19" spans="1:12" x14ac:dyDescent="0.3">
      <c r="A19" s="3">
        <v>18</v>
      </c>
      <c r="B19" s="4">
        <v>45046</v>
      </c>
      <c r="C19" s="9" t="str">
        <f t="shared" si="0"/>
        <v>April</v>
      </c>
      <c r="D19" s="3" t="s">
        <v>31</v>
      </c>
      <c r="E19" s="3" t="s">
        <v>13</v>
      </c>
      <c r="F19" s="3">
        <v>47</v>
      </c>
      <c r="G19" s="8" t="str" cm="1">
        <f t="array" ref="G19">_xlfn.IFS(
    F19 &lt; 25, "Young",
    F19 &lt;= 40, "Mid-Age",
    F19 &gt; 40, "Old-Age"
)</f>
        <v>Old-Age</v>
      </c>
      <c r="H19" s="3" t="s">
        <v>16</v>
      </c>
      <c r="I19" s="3">
        <v>2</v>
      </c>
      <c r="J19" s="3">
        <v>25</v>
      </c>
      <c r="K19" s="3">
        <v>50</v>
      </c>
      <c r="L19" s="3">
        <f t="shared" si="1"/>
        <v>0.7360171756304098</v>
      </c>
    </row>
    <row r="20" spans="1:12" x14ac:dyDescent="0.3">
      <c r="A20" s="3">
        <v>19</v>
      </c>
      <c r="B20" s="4">
        <v>45185</v>
      </c>
      <c r="C20" s="9" t="str">
        <f t="shared" si="0"/>
        <v>September</v>
      </c>
      <c r="D20" s="3" t="s">
        <v>32</v>
      </c>
      <c r="E20" s="3" t="s">
        <v>13</v>
      </c>
      <c r="F20" s="3">
        <v>62</v>
      </c>
      <c r="G20" s="8" t="str" cm="1">
        <f t="array" ref="G20">_xlfn.IFS(
    F20 &lt; 25, "Young",
    F20 &lt;= 40, "Mid-Age",
    F20 &gt; 40, "Old-Age"
)</f>
        <v>Old-Age</v>
      </c>
      <c r="H20" s="3" t="s">
        <v>14</v>
      </c>
      <c r="I20" s="3">
        <v>2</v>
      </c>
      <c r="J20" s="3">
        <v>25</v>
      </c>
      <c r="K20" s="3">
        <v>50</v>
      </c>
      <c r="L20" s="3">
        <f t="shared" si="1"/>
        <v>0.73445192862737096</v>
      </c>
    </row>
    <row r="21" spans="1:12" x14ac:dyDescent="0.3">
      <c r="A21" s="3">
        <v>20</v>
      </c>
      <c r="B21" s="4">
        <v>45235</v>
      </c>
      <c r="C21" s="9" t="str">
        <f t="shared" si="0"/>
        <v>November</v>
      </c>
      <c r="D21" s="3" t="s">
        <v>33</v>
      </c>
      <c r="E21" s="3" t="s">
        <v>10</v>
      </c>
      <c r="F21" s="3">
        <v>22</v>
      </c>
      <c r="G21" s="8" t="str" cm="1">
        <f t="array" ref="G21">_xlfn.IFS(
    F21 &lt; 25, "Young",
    F21 &lt;= 40, "Mid-Age",
    F21 &gt; 40, "Old-Age"
)</f>
        <v>Young</v>
      </c>
      <c r="H21" s="3" t="s">
        <v>14</v>
      </c>
      <c r="I21" s="3">
        <v>3</v>
      </c>
      <c r="J21" s="3">
        <v>300</v>
      </c>
      <c r="K21" s="3">
        <v>900</v>
      </c>
      <c r="L21" s="3">
        <f t="shared" si="1"/>
        <v>0.73288485289789462</v>
      </c>
    </row>
    <row r="22" spans="1:12" x14ac:dyDescent="0.3">
      <c r="A22" s="3">
        <v>21</v>
      </c>
      <c r="B22" s="4">
        <v>44940</v>
      </c>
      <c r="C22" s="9" t="str">
        <f t="shared" si="0"/>
        <v>January</v>
      </c>
      <c r="D22" s="3" t="s">
        <v>34</v>
      </c>
      <c r="E22" s="3" t="s">
        <v>13</v>
      </c>
      <c r="F22" s="3">
        <v>50</v>
      </c>
      <c r="G22" s="8" t="str" cm="1">
        <f t="array" ref="G22">_xlfn.IFS(
    F22 &lt; 25, "Young",
    F22 &lt;= 40, "Mid-Age",
    F22 &gt; 40, "Old-Age"
)</f>
        <v>Old-Age</v>
      </c>
      <c r="H22" s="3" t="s">
        <v>11</v>
      </c>
      <c r="I22" s="3">
        <v>1</v>
      </c>
      <c r="J22" s="3">
        <v>500</v>
      </c>
      <c r="K22" s="3">
        <v>500</v>
      </c>
      <c r="L22" s="3">
        <f t="shared" si="1"/>
        <v>0.73464523381049529</v>
      </c>
    </row>
    <row r="23" spans="1:12" x14ac:dyDescent="0.3">
      <c r="A23" s="3">
        <v>22</v>
      </c>
      <c r="B23" s="4">
        <v>45214</v>
      </c>
      <c r="C23" s="9" t="str">
        <f t="shared" si="0"/>
        <v>October</v>
      </c>
      <c r="D23" s="3" t="s">
        <v>35</v>
      </c>
      <c r="E23" s="3" t="s">
        <v>10</v>
      </c>
      <c r="F23" s="3">
        <v>18</v>
      </c>
      <c r="G23" s="8" t="str" cm="1">
        <f t="array" ref="G23">_xlfn.IFS(
    F23 &lt; 25, "Young",
    F23 &lt;= 40, "Mid-Age",
    F23 &gt; 40, "Old-Age"
)</f>
        <v>Young</v>
      </c>
      <c r="H23" s="3" t="s">
        <v>14</v>
      </c>
      <c r="I23" s="3">
        <v>2</v>
      </c>
      <c r="J23" s="3">
        <v>50</v>
      </c>
      <c r="K23" s="3">
        <v>100</v>
      </c>
      <c r="L23" s="3">
        <f t="shared" si="1"/>
        <v>0.7377349495589719</v>
      </c>
    </row>
    <row r="24" spans="1:12" x14ac:dyDescent="0.3">
      <c r="A24" s="3">
        <v>23</v>
      </c>
      <c r="B24" s="4">
        <v>45028</v>
      </c>
      <c r="C24" s="9" t="str">
        <f t="shared" si="0"/>
        <v>April</v>
      </c>
      <c r="D24" s="3" t="s">
        <v>36</v>
      </c>
      <c r="E24" s="3" t="s">
        <v>13</v>
      </c>
      <c r="F24" s="3">
        <v>35</v>
      </c>
      <c r="G24" s="8" t="str" cm="1">
        <f t="array" ref="G24">_xlfn.IFS(
    F24 &lt; 25, "Young",
    F24 &lt;= 40, "Mid-Age",
    F24 &gt; 40, "Old-Age"
)</f>
        <v>Mid-Age</v>
      </c>
      <c r="H24" s="3" t="s">
        <v>14</v>
      </c>
      <c r="I24" s="3">
        <v>4</v>
      </c>
      <c r="J24" s="3">
        <v>30</v>
      </c>
      <c r="K24" s="3">
        <v>120</v>
      </c>
      <c r="L24" s="3">
        <f t="shared" si="1"/>
        <v>0.73611517872552878</v>
      </c>
    </row>
    <row r="25" spans="1:12" x14ac:dyDescent="0.3">
      <c r="A25" s="3">
        <v>24</v>
      </c>
      <c r="B25" s="4">
        <v>45259</v>
      </c>
      <c r="C25" s="9" t="str">
        <f t="shared" si="0"/>
        <v>November</v>
      </c>
      <c r="D25" s="3" t="s">
        <v>37</v>
      </c>
      <c r="E25" s="3" t="s">
        <v>13</v>
      </c>
      <c r="F25" s="3">
        <v>49</v>
      </c>
      <c r="G25" s="8" t="str" cm="1">
        <f t="array" ref="G25">_xlfn.IFS(
    F25 &lt; 25, "Young",
    F25 &lt;= 40, "Mid-Age",
    F25 &gt; 40, "Old-Age"
)</f>
        <v>Old-Age</v>
      </c>
      <c r="H25" s="3" t="s">
        <v>14</v>
      </c>
      <c r="I25" s="3">
        <v>1</v>
      </c>
      <c r="J25" s="3">
        <v>300</v>
      </c>
      <c r="K25" s="3">
        <v>300</v>
      </c>
      <c r="L25" s="3">
        <f t="shared" si="1"/>
        <v>0.73452251876852592</v>
      </c>
    </row>
    <row r="26" spans="1:12" x14ac:dyDescent="0.3">
      <c r="A26" s="3">
        <v>25</v>
      </c>
      <c r="B26" s="4">
        <v>45286</v>
      </c>
      <c r="C26" s="9" t="str">
        <f t="shared" si="0"/>
        <v>December</v>
      </c>
      <c r="D26" s="3" t="s">
        <v>38</v>
      </c>
      <c r="E26" s="3" t="s">
        <v>13</v>
      </c>
      <c r="F26" s="3">
        <v>64</v>
      </c>
      <c r="G26" s="8" t="str" cm="1">
        <f t="array" ref="G26">_xlfn.IFS(
    F26 &lt; 25, "Young",
    F26 &lt;= 40, "Mid-Age",
    F26 &gt; 40, "Old-Age"
)</f>
        <v>Old-Age</v>
      </c>
      <c r="H26" s="3" t="s">
        <v>11</v>
      </c>
      <c r="I26" s="3">
        <v>1</v>
      </c>
      <c r="J26" s="3">
        <v>50</v>
      </c>
      <c r="K26" s="3">
        <v>50</v>
      </c>
      <c r="L26" s="3">
        <f t="shared" si="1"/>
        <v>0.73629351623140726</v>
      </c>
    </row>
    <row r="27" spans="1:12" x14ac:dyDescent="0.3">
      <c r="A27" s="3">
        <v>26</v>
      </c>
      <c r="B27" s="4">
        <v>45206</v>
      </c>
      <c r="C27" s="9" t="str">
        <f t="shared" si="0"/>
        <v>October</v>
      </c>
      <c r="D27" s="3" t="s">
        <v>39</v>
      </c>
      <c r="E27" s="3" t="s">
        <v>13</v>
      </c>
      <c r="F27" s="3">
        <v>28</v>
      </c>
      <c r="G27" s="8" t="str" cm="1">
        <f t="array" ref="G27">_xlfn.IFS(
    F27 &lt; 25, "Young",
    F27 &lt;= 40, "Mid-Age",
    F27 &gt; 40, "Old-Age"
)</f>
        <v>Mid-Age</v>
      </c>
      <c r="H27" s="3" t="s">
        <v>16</v>
      </c>
      <c r="I27" s="3">
        <v>2</v>
      </c>
      <c r="J27" s="3">
        <v>500</v>
      </c>
      <c r="K27" s="3">
        <v>1000</v>
      </c>
      <c r="L27" s="3">
        <f t="shared" si="1"/>
        <v>0.73466842634809171</v>
      </c>
    </row>
    <row r="28" spans="1:12" x14ac:dyDescent="0.3">
      <c r="A28" s="3">
        <v>27</v>
      </c>
      <c r="B28" s="4">
        <v>45141</v>
      </c>
      <c r="C28" s="9" t="str">
        <f t="shared" si="0"/>
        <v>August</v>
      </c>
      <c r="D28" s="3" t="s">
        <v>40</v>
      </c>
      <c r="E28" s="3" t="s">
        <v>13</v>
      </c>
      <c r="F28" s="3">
        <v>38</v>
      </c>
      <c r="G28" s="8" t="str" cm="1">
        <f t="array" ref="G28">_xlfn.IFS(
    F28 &lt; 25, "Young",
    F28 &lt;= 40, "Mid-Age",
    F28 &gt; 40, "Old-Age"
)</f>
        <v>Mid-Age</v>
      </c>
      <c r="H28" s="3" t="s">
        <v>11</v>
      </c>
      <c r="I28" s="3">
        <v>2</v>
      </c>
      <c r="J28" s="3">
        <v>25</v>
      </c>
      <c r="K28" s="3">
        <v>50</v>
      </c>
      <c r="L28" s="3">
        <f t="shared" si="1"/>
        <v>0.73777407621031033</v>
      </c>
    </row>
    <row r="29" spans="1:12" x14ac:dyDescent="0.3">
      <c r="A29" s="3">
        <v>28</v>
      </c>
      <c r="B29" s="4">
        <v>45039</v>
      </c>
      <c r="C29" s="9" t="str">
        <f t="shared" si="0"/>
        <v>April</v>
      </c>
      <c r="D29" s="3" t="s">
        <v>41</v>
      </c>
      <c r="E29" s="3" t="s">
        <v>13</v>
      </c>
      <c r="F29" s="3">
        <v>43</v>
      </c>
      <c r="G29" s="8" t="str" cm="1">
        <f t="array" ref="G29">_xlfn.IFS(
    F29 &lt; 25, "Young",
    F29 &lt;= 40, "Mid-Age",
    F29 &gt; 40, "Old-Age"
)</f>
        <v>Old-Age</v>
      </c>
      <c r="H29" s="3" t="s">
        <v>11</v>
      </c>
      <c r="I29" s="3">
        <v>1</v>
      </c>
      <c r="J29" s="3">
        <v>500</v>
      </c>
      <c r="K29" s="3">
        <v>500</v>
      </c>
      <c r="L29" s="3">
        <f t="shared" si="1"/>
        <v>0.7361946730540333</v>
      </c>
    </row>
    <row r="30" spans="1:12" x14ac:dyDescent="0.3">
      <c r="A30" s="3">
        <v>29</v>
      </c>
      <c r="B30" s="4">
        <v>45156</v>
      </c>
      <c r="C30" s="9" t="str">
        <f t="shared" si="0"/>
        <v>August</v>
      </c>
      <c r="D30" s="3" t="s">
        <v>42</v>
      </c>
      <c r="E30" s="3" t="s">
        <v>13</v>
      </c>
      <c r="F30" s="3">
        <v>42</v>
      </c>
      <c r="G30" s="8" t="str" cm="1">
        <f t="array" ref="G30">_xlfn.IFS(
    F30 &lt; 25, "Young",
    F30 &lt;= 40, "Mid-Age",
    F30 &gt; 40, "Old-Age"
)</f>
        <v>Old-Age</v>
      </c>
      <c r="H30" s="3" t="s">
        <v>16</v>
      </c>
      <c r="I30" s="3">
        <v>1</v>
      </c>
      <c r="J30" s="3">
        <v>30</v>
      </c>
      <c r="K30" s="3">
        <v>30</v>
      </c>
      <c r="L30" s="3">
        <f t="shared" si="1"/>
        <v>0.73930840432441536</v>
      </c>
    </row>
    <row r="31" spans="1:12" x14ac:dyDescent="0.3">
      <c r="A31" s="3">
        <v>30</v>
      </c>
      <c r="B31" s="4">
        <v>45228</v>
      </c>
      <c r="C31" s="9" t="str">
        <f t="shared" si="0"/>
        <v>October</v>
      </c>
      <c r="D31" s="3" t="s">
        <v>43</v>
      </c>
      <c r="E31" s="3" t="s">
        <v>13</v>
      </c>
      <c r="F31" s="3">
        <v>39</v>
      </c>
      <c r="G31" s="8" t="str" cm="1">
        <f t="array" ref="G31">_xlfn.IFS(
    F31 &lt; 25, "Young",
    F31 &lt;= 40, "Mid-Age",
    F31 &gt; 40, "Old-Age"
)</f>
        <v>Mid-Age</v>
      </c>
      <c r="H31" s="3" t="s">
        <v>11</v>
      </c>
      <c r="I31" s="3">
        <v>3</v>
      </c>
      <c r="J31" s="3">
        <v>300</v>
      </c>
      <c r="K31" s="3">
        <v>900</v>
      </c>
      <c r="L31" s="3">
        <f t="shared" si="1"/>
        <v>0.73770669963797386</v>
      </c>
    </row>
    <row r="32" spans="1:12" x14ac:dyDescent="0.3">
      <c r="A32" s="3">
        <v>31</v>
      </c>
      <c r="B32" s="4">
        <v>45069</v>
      </c>
      <c r="C32" s="9" t="str">
        <f t="shared" si="0"/>
        <v>May</v>
      </c>
      <c r="D32" s="3" t="s">
        <v>44</v>
      </c>
      <c r="E32" s="3" t="s">
        <v>10</v>
      </c>
      <c r="F32" s="3">
        <v>44</v>
      </c>
      <c r="G32" s="8" t="str" cm="1">
        <f t="array" ref="G32">_xlfn.IFS(
    F32 &lt; 25, "Young",
    F32 &lt;= 40, "Mid-Age",
    F32 &gt; 40, "Old-Age"
)</f>
        <v>Old-Age</v>
      </c>
      <c r="H32" s="3" t="s">
        <v>16</v>
      </c>
      <c r="I32" s="3">
        <v>4</v>
      </c>
      <c r="J32" s="3">
        <v>300</v>
      </c>
      <c r="K32" s="3">
        <v>1200</v>
      </c>
      <c r="L32" s="3">
        <f t="shared" si="1"/>
        <v>0.7394969206694586</v>
      </c>
    </row>
    <row r="33" spans="1:12" x14ac:dyDescent="0.3">
      <c r="A33" s="3">
        <v>32</v>
      </c>
      <c r="B33" s="4">
        <v>44930</v>
      </c>
      <c r="C33" s="9" t="str">
        <f t="shared" si="0"/>
        <v>January</v>
      </c>
      <c r="D33" s="3" t="s">
        <v>45</v>
      </c>
      <c r="E33" s="3" t="s">
        <v>10</v>
      </c>
      <c r="F33" s="3">
        <v>30</v>
      </c>
      <c r="G33" s="8" t="str" cm="1">
        <f t="array" ref="G33">_xlfn.IFS(
    F33 &lt; 25, "Young",
    F33 &lt;= 40, "Mid-Age",
    F33 &gt; 40, "Old-Age"
)</f>
        <v>Mid-Age</v>
      </c>
      <c r="H33" s="3" t="s">
        <v>11</v>
      </c>
      <c r="I33" s="3">
        <v>3</v>
      </c>
      <c r="J33" s="3">
        <v>30</v>
      </c>
      <c r="K33" s="3">
        <v>90</v>
      </c>
      <c r="L33" s="3">
        <f t="shared" si="1"/>
        <v>0.74129072219476255</v>
      </c>
    </row>
    <row r="34" spans="1:12" x14ac:dyDescent="0.3">
      <c r="A34" s="3">
        <v>33</v>
      </c>
      <c r="B34" s="4">
        <v>45008</v>
      </c>
      <c r="C34" s="9" t="str">
        <f t="shared" si="0"/>
        <v>March</v>
      </c>
      <c r="D34" s="3" t="s">
        <v>46</v>
      </c>
      <c r="E34" s="3" t="s">
        <v>13</v>
      </c>
      <c r="F34" s="3">
        <v>50</v>
      </c>
      <c r="G34" s="8" t="str" cm="1">
        <f t="array" ref="G34">_xlfn.IFS(
    F34 &lt; 25, "Young",
    F34 &lt;= 40, "Mid-Age",
    F34 &gt; 40, "Old-Age"
)</f>
        <v>Old-Age</v>
      </c>
      <c r="H34" s="3" t="s">
        <v>16</v>
      </c>
      <c r="I34" s="3">
        <v>2</v>
      </c>
      <c r="J34" s="3">
        <v>50</v>
      </c>
      <c r="K34" s="3">
        <v>100</v>
      </c>
      <c r="L34" s="3">
        <f t="shared" si="1"/>
        <v>0.73968421304740228</v>
      </c>
    </row>
    <row r="35" spans="1:12" x14ac:dyDescent="0.3">
      <c r="A35" s="3">
        <v>34</v>
      </c>
      <c r="B35" s="4">
        <v>45284</v>
      </c>
      <c r="C35" s="9" t="str">
        <f t="shared" si="0"/>
        <v>December</v>
      </c>
      <c r="D35" s="3" t="s">
        <v>47</v>
      </c>
      <c r="E35" s="3" t="s">
        <v>13</v>
      </c>
      <c r="F35" s="3">
        <v>51</v>
      </c>
      <c r="G35" s="8" t="str" cm="1">
        <f t="array" ref="G35">_xlfn.IFS(
    F35 &lt; 25, "Young",
    F35 &lt;= 40, "Mid-Age",
    F35 &gt; 40, "Old-Age"
)</f>
        <v>Old-Age</v>
      </c>
      <c r="H35" s="3" t="s">
        <v>14</v>
      </c>
      <c r="I35" s="3">
        <v>3</v>
      </c>
      <c r="J35" s="3">
        <v>50</v>
      </c>
      <c r="K35" s="3">
        <v>150</v>
      </c>
      <c r="L35" s="3">
        <f t="shared" si="1"/>
        <v>0.7380464972924875</v>
      </c>
    </row>
    <row r="36" spans="1:12" x14ac:dyDescent="0.3">
      <c r="A36" s="3">
        <v>35</v>
      </c>
      <c r="B36" s="4">
        <v>45143</v>
      </c>
      <c r="C36" s="9" t="str">
        <f t="shared" si="0"/>
        <v>August</v>
      </c>
      <c r="D36" s="3" t="s">
        <v>48</v>
      </c>
      <c r="E36" s="3" t="s">
        <v>13</v>
      </c>
      <c r="F36" s="3">
        <v>58</v>
      </c>
      <c r="G36" s="8" t="str" cm="1">
        <f t="array" ref="G36">_xlfn.IFS(
    F36 &lt; 25, "Young",
    F36 &lt;= 40, "Mid-Age",
    F36 &gt; 40, "Old-Age"
)</f>
        <v>Old-Age</v>
      </c>
      <c r="H36" s="3" t="s">
        <v>11</v>
      </c>
      <c r="I36" s="3">
        <v>3</v>
      </c>
      <c r="J36" s="3">
        <v>300</v>
      </c>
      <c r="K36" s="3">
        <v>900</v>
      </c>
      <c r="L36" s="3">
        <f t="shared" si="1"/>
        <v>0.73640669510075096</v>
      </c>
    </row>
    <row r="37" spans="1:12" x14ac:dyDescent="0.3">
      <c r="A37" s="3">
        <v>36</v>
      </c>
      <c r="B37" s="4">
        <v>45101</v>
      </c>
      <c r="C37" s="9" t="str">
        <f t="shared" si="0"/>
        <v>June</v>
      </c>
      <c r="D37" s="3" t="s">
        <v>49</v>
      </c>
      <c r="E37" s="3" t="s">
        <v>10</v>
      </c>
      <c r="F37" s="3">
        <v>52</v>
      </c>
      <c r="G37" s="8" t="str" cm="1">
        <f t="array" ref="G37">_xlfn.IFS(
    F37 &lt; 25, "Young",
    F37 &lt;= 40, "Mid-Age",
    F37 &gt; 40, "Old-Age"
)</f>
        <v>Old-Age</v>
      </c>
      <c r="H37" s="3" t="s">
        <v>11</v>
      </c>
      <c r="I37" s="3">
        <v>3</v>
      </c>
      <c r="J37" s="3">
        <v>300</v>
      </c>
      <c r="K37" s="3">
        <v>900</v>
      </c>
      <c r="L37" s="3">
        <f t="shared" si="1"/>
        <v>0.73820016501465457</v>
      </c>
    </row>
    <row r="38" spans="1:12" x14ac:dyDescent="0.3">
      <c r="A38" s="3">
        <v>37</v>
      </c>
      <c r="B38" s="4">
        <v>45069</v>
      </c>
      <c r="C38" s="9" t="str">
        <f t="shared" si="0"/>
        <v>May</v>
      </c>
      <c r="D38" s="3" t="s">
        <v>50</v>
      </c>
      <c r="E38" s="3" t="s">
        <v>13</v>
      </c>
      <c r="F38" s="3">
        <v>18</v>
      </c>
      <c r="G38" s="8" t="str" cm="1">
        <f t="array" ref="G38">_xlfn.IFS(
    F38 &lt; 25, "Young",
    F38 &lt;= 40, "Mid-Age",
    F38 &gt; 40, "Old-Age"
)</f>
        <v>Young</v>
      </c>
      <c r="H38" s="3" t="s">
        <v>11</v>
      </c>
      <c r="I38" s="3">
        <v>3</v>
      </c>
      <c r="J38" s="3">
        <v>25</v>
      </c>
      <c r="K38" s="3">
        <v>75</v>
      </c>
      <c r="L38" s="3">
        <f t="shared" si="1"/>
        <v>0.73999723280273721</v>
      </c>
    </row>
    <row r="39" spans="1:12" x14ac:dyDescent="0.3">
      <c r="A39" s="3">
        <v>38</v>
      </c>
      <c r="B39" s="4">
        <v>45006</v>
      </c>
      <c r="C39" s="9" t="str">
        <f t="shared" si="0"/>
        <v>March</v>
      </c>
      <c r="D39" s="3" t="s">
        <v>51</v>
      </c>
      <c r="E39" s="3" t="s">
        <v>10</v>
      </c>
      <c r="F39" s="3">
        <v>38</v>
      </c>
      <c r="G39" s="8" t="str" cm="1">
        <f t="array" ref="G39">_xlfn.IFS(
    F39 &lt; 25, "Young",
    F39 &lt;= 40, "Mid-Age",
    F39 &gt; 40, "Old-Age"
)</f>
        <v>Mid-Age</v>
      </c>
      <c r="H39" s="3" t="s">
        <v>11</v>
      </c>
      <c r="I39" s="3">
        <v>4</v>
      </c>
      <c r="J39" s="3">
        <v>50</v>
      </c>
      <c r="K39" s="3">
        <v>200</v>
      </c>
      <c r="L39" s="3">
        <f t="shared" si="1"/>
        <v>0.73840122341017844</v>
      </c>
    </row>
    <row r="40" spans="1:12" x14ac:dyDescent="0.3">
      <c r="A40" s="3">
        <v>39</v>
      </c>
      <c r="B40" s="4">
        <v>45037</v>
      </c>
      <c r="C40" s="9" t="str">
        <f t="shared" si="0"/>
        <v>April</v>
      </c>
      <c r="D40" s="3" t="s">
        <v>52</v>
      </c>
      <c r="E40" s="3" t="s">
        <v>10</v>
      </c>
      <c r="F40" s="3">
        <v>23</v>
      </c>
      <c r="G40" s="8" t="str" cm="1">
        <f t="array" ref="G40">_xlfn.IFS(
    F40 &lt; 25, "Young",
    F40 &lt;= 40, "Mid-Age",
    F40 &gt; 40, "Old-Age"
)</f>
        <v>Young</v>
      </c>
      <c r="H40" s="3" t="s">
        <v>14</v>
      </c>
      <c r="I40" s="3">
        <v>4</v>
      </c>
      <c r="J40" s="3">
        <v>30</v>
      </c>
      <c r="K40" s="3">
        <v>120</v>
      </c>
      <c r="L40" s="3">
        <f t="shared" si="1"/>
        <v>0.73675471540197324</v>
      </c>
    </row>
    <row r="41" spans="1:12" x14ac:dyDescent="0.3">
      <c r="A41" s="3">
        <v>40</v>
      </c>
      <c r="B41" s="4">
        <v>45099</v>
      </c>
      <c r="C41" s="9" t="str">
        <f t="shared" si="0"/>
        <v>June</v>
      </c>
      <c r="D41" s="3" t="s">
        <v>53</v>
      </c>
      <c r="E41" s="3" t="s">
        <v>10</v>
      </c>
      <c r="F41" s="3">
        <v>45</v>
      </c>
      <c r="G41" s="8" t="str" cm="1">
        <f t="array" ref="G41">_xlfn.IFS(
    F41 &lt; 25, "Young",
    F41 &lt;= 40, "Mid-Age",
    F41 &gt; 40, "Old-Age"
)</f>
        <v>Old-Age</v>
      </c>
      <c r="H41" s="3" t="s">
        <v>11</v>
      </c>
      <c r="I41" s="3">
        <v>1</v>
      </c>
      <c r="J41" s="3">
        <v>50</v>
      </c>
      <c r="K41" s="3">
        <v>50</v>
      </c>
      <c r="L41" s="3">
        <f t="shared" si="1"/>
        <v>0.7351351023351993</v>
      </c>
    </row>
    <row r="42" spans="1:12" x14ac:dyDescent="0.3">
      <c r="A42" s="3">
        <v>41</v>
      </c>
      <c r="B42" s="4">
        <v>44979</v>
      </c>
      <c r="C42" s="9" t="str">
        <f t="shared" si="0"/>
        <v>February</v>
      </c>
      <c r="D42" s="3" t="s">
        <v>54</v>
      </c>
      <c r="E42" s="3" t="s">
        <v>10</v>
      </c>
      <c r="F42" s="3">
        <v>34</v>
      </c>
      <c r="G42" s="8" t="str" cm="1">
        <f t="array" ref="G42">_xlfn.IFS(
    F42 &lt; 25, "Young",
    F42 &lt;= 40, "Mid-Age",
    F42 &gt; 40, "Old-Age"
)</f>
        <v>Mid-Age</v>
      </c>
      <c r="H42" s="3" t="s">
        <v>14</v>
      </c>
      <c r="I42" s="3">
        <v>2</v>
      </c>
      <c r="J42" s="3">
        <v>25</v>
      </c>
      <c r="K42" s="3">
        <v>50</v>
      </c>
      <c r="L42" s="3">
        <f t="shared" si="1"/>
        <v>0.73348435977670723</v>
      </c>
    </row>
    <row r="43" spans="1:12" x14ac:dyDescent="0.3">
      <c r="A43" s="3">
        <v>42</v>
      </c>
      <c r="B43" s="4">
        <v>44974</v>
      </c>
      <c r="C43" s="9" t="str">
        <f t="shared" si="0"/>
        <v>February</v>
      </c>
      <c r="D43" s="3" t="s">
        <v>55</v>
      </c>
      <c r="E43" s="3" t="s">
        <v>10</v>
      </c>
      <c r="F43" s="3">
        <v>22</v>
      </c>
      <c r="G43" s="8" t="str" cm="1">
        <f t="array" ref="G43">_xlfn.IFS(
    F43 &lt; 25, "Young",
    F43 &lt;= 40, "Mid-Age",
    F43 &gt; 40, "Old-Age"
)</f>
        <v>Young</v>
      </c>
      <c r="H43" s="3" t="s">
        <v>14</v>
      </c>
      <c r="I43" s="3">
        <v>3</v>
      </c>
      <c r="J43" s="3">
        <v>300</v>
      </c>
      <c r="K43" s="3">
        <v>900</v>
      </c>
      <c r="L43" s="3">
        <f t="shared" si="1"/>
        <v>0.7318802421865257</v>
      </c>
    </row>
    <row r="44" spans="1:12" x14ac:dyDescent="0.3">
      <c r="A44" s="3">
        <v>43</v>
      </c>
      <c r="B44" s="4">
        <v>45121</v>
      </c>
      <c r="C44" s="9" t="str">
        <f t="shared" si="0"/>
        <v>July</v>
      </c>
      <c r="D44" s="3" t="s">
        <v>56</v>
      </c>
      <c r="E44" s="3" t="s">
        <v>13</v>
      </c>
      <c r="F44" s="3">
        <v>48</v>
      </c>
      <c r="G44" s="8" t="str" cm="1">
        <f t="array" ref="G44">_xlfn.IFS(
    F44 &lt; 25, "Young",
    F44 &lt;= 40, "Mid-Age",
    F44 &gt; 40, "Old-Age"
)</f>
        <v>Old-Age</v>
      </c>
      <c r="H44" s="3" t="s">
        <v>14</v>
      </c>
      <c r="I44" s="3">
        <v>1</v>
      </c>
      <c r="J44" s="3">
        <v>300</v>
      </c>
      <c r="K44" s="3">
        <v>300</v>
      </c>
      <c r="L44" s="3">
        <f t="shared" si="1"/>
        <v>0.73367396140420138</v>
      </c>
    </row>
    <row r="45" spans="1:12" x14ac:dyDescent="0.3">
      <c r="A45" s="3">
        <v>44</v>
      </c>
      <c r="B45" s="4">
        <v>44976</v>
      </c>
      <c r="C45" s="9" t="str">
        <f t="shared" si="0"/>
        <v>February</v>
      </c>
      <c r="D45" s="3" t="s">
        <v>57</v>
      </c>
      <c r="E45" s="3" t="s">
        <v>13</v>
      </c>
      <c r="F45" s="3">
        <v>22</v>
      </c>
      <c r="G45" s="8" t="str" cm="1">
        <f t="array" ref="G45">_xlfn.IFS(
    F45 &lt; 25, "Young",
    F45 &lt;= 40, "Mid-Age",
    F45 &gt; 40, "Old-Age"
)</f>
        <v>Young</v>
      </c>
      <c r="H45" s="3" t="s">
        <v>14</v>
      </c>
      <c r="I45" s="3">
        <v>1</v>
      </c>
      <c r="J45" s="3">
        <v>25</v>
      </c>
      <c r="K45" s="3">
        <v>25</v>
      </c>
      <c r="L45" s="3">
        <f t="shared" si="1"/>
        <v>0.73547128763061598</v>
      </c>
    </row>
    <row r="46" spans="1:12" x14ac:dyDescent="0.3">
      <c r="A46" s="3">
        <v>45</v>
      </c>
      <c r="B46" s="4">
        <v>45110</v>
      </c>
      <c r="C46" s="9" t="str">
        <f t="shared" si="0"/>
        <v>July</v>
      </c>
      <c r="D46" s="3" t="s">
        <v>58</v>
      </c>
      <c r="E46" s="3" t="s">
        <v>13</v>
      </c>
      <c r="F46" s="3">
        <v>55</v>
      </c>
      <c r="G46" s="8" t="str" cm="1">
        <f t="array" ref="G46">_xlfn.IFS(
    F46 &lt; 25, "Young",
    F46 &lt;= 40, "Mid-Age",
    F46 &gt; 40, "Old-Age"
)</f>
        <v>Old-Age</v>
      </c>
      <c r="H46" s="3" t="s">
        <v>16</v>
      </c>
      <c r="I46" s="3">
        <v>1</v>
      </c>
      <c r="J46" s="3">
        <v>30</v>
      </c>
      <c r="K46" s="3">
        <v>30</v>
      </c>
      <c r="L46" s="3">
        <f t="shared" si="1"/>
        <v>0.73386223773259185</v>
      </c>
    </row>
    <row r="47" spans="1:12" x14ac:dyDescent="0.3">
      <c r="A47" s="3">
        <v>46</v>
      </c>
      <c r="B47" s="4">
        <v>45103</v>
      </c>
      <c r="C47" s="9" t="str">
        <f t="shared" si="0"/>
        <v>June</v>
      </c>
      <c r="D47" s="3" t="s">
        <v>59</v>
      </c>
      <c r="E47" s="3" t="s">
        <v>13</v>
      </c>
      <c r="F47" s="3">
        <v>20</v>
      </c>
      <c r="G47" s="8" t="str" cm="1">
        <f t="array" ref="G47">_xlfn.IFS(
    F47 &lt; 25, "Young",
    F47 &lt;= 40, "Mid-Age",
    F47 &gt; 40, "Old-Age"
)</f>
        <v>Young</v>
      </c>
      <c r="H47" s="3" t="s">
        <v>16</v>
      </c>
      <c r="I47" s="3">
        <v>4</v>
      </c>
      <c r="J47" s="3">
        <v>300</v>
      </c>
      <c r="K47" s="3">
        <v>1200</v>
      </c>
      <c r="L47" s="3">
        <f t="shared" si="1"/>
        <v>0.73223161559628758</v>
      </c>
    </row>
    <row r="48" spans="1:12" x14ac:dyDescent="0.3">
      <c r="A48" s="3">
        <v>47</v>
      </c>
      <c r="B48" s="4">
        <v>45236</v>
      </c>
      <c r="C48" s="9" t="str">
        <f t="shared" si="0"/>
        <v>November</v>
      </c>
      <c r="D48" s="3" t="s">
        <v>60</v>
      </c>
      <c r="E48" s="3" t="s">
        <v>13</v>
      </c>
      <c r="F48" s="3">
        <v>40</v>
      </c>
      <c r="G48" s="8" t="str" cm="1">
        <f t="array" ref="G48">_xlfn.IFS(
    F48 &lt; 25, "Young",
    F48 &lt;= 40, "Mid-Age",
    F48 &gt; 40, "Old-Age"
)</f>
        <v>Mid-Age</v>
      </c>
      <c r="H48" s="3" t="s">
        <v>11</v>
      </c>
      <c r="I48" s="3">
        <v>3</v>
      </c>
      <c r="J48" s="3">
        <v>500</v>
      </c>
      <c r="K48" s="3">
        <v>1500</v>
      </c>
      <c r="L48" s="3">
        <f t="shared" si="1"/>
        <v>0.73402958322574963</v>
      </c>
    </row>
    <row r="49" spans="1:12" x14ac:dyDescent="0.3">
      <c r="A49" s="3">
        <v>48</v>
      </c>
      <c r="B49" s="4">
        <v>45062</v>
      </c>
      <c r="C49" s="9" t="str">
        <f t="shared" si="0"/>
        <v>May</v>
      </c>
      <c r="D49" s="3" t="s">
        <v>61</v>
      </c>
      <c r="E49" s="3" t="s">
        <v>10</v>
      </c>
      <c r="F49" s="3">
        <v>54</v>
      </c>
      <c r="G49" s="8" t="str" cm="1">
        <f t="array" ref="G49">_xlfn.IFS(
    F49 &lt; 25, "Young",
    F49 &lt;= 40, "Mid-Age",
    F49 &gt; 40, "Old-Age"
)</f>
        <v>Old-Age</v>
      </c>
      <c r="H49" s="3" t="s">
        <v>16</v>
      </c>
      <c r="I49" s="3">
        <v>3</v>
      </c>
      <c r="J49" s="3">
        <v>300</v>
      </c>
      <c r="K49" s="3">
        <v>900</v>
      </c>
      <c r="L49" s="3">
        <f t="shared" si="1"/>
        <v>0.73721318309874762</v>
      </c>
    </row>
    <row r="50" spans="1:12" x14ac:dyDescent="0.3">
      <c r="A50" s="3">
        <v>49</v>
      </c>
      <c r="B50" s="4">
        <v>44949</v>
      </c>
      <c r="C50" s="9" t="str">
        <f t="shared" si="0"/>
        <v>January</v>
      </c>
      <c r="D50" s="3" t="s">
        <v>62</v>
      </c>
      <c r="E50" s="3" t="s">
        <v>13</v>
      </c>
      <c r="F50" s="3">
        <v>54</v>
      </c>
      <c r="G50" s="8" t="str" cm="1">
        <f t="array" ref="G50">_xlfn.IFS(
    F50 &lt; 25, "Young",
    F50 &lt;= 40, "Mid-Age",
    F50 &gt; 40, "Old-Age"
)</f>
        <v>Old-Age</v>
      </c>
      <c r="H50" s="3" t="s">
        <v>16</v>
      </c>
      <c r="I50" s="3">
        <v>2</v>
      </c>
      <c r="J50" s="3">
        <v>500</v>
      </c>
      <c r="K50" s="3">
        <v>1000</v>
      </c>
      <c r="L50" s="3">
        <f t="shared" si="1"/>
        <v>0.73902501340776516</v>
      </c>
    </row>
    <row r="51" spans="1:12" x14ac:dyDescent="0.3">
      <c r="A51" s="3">
        <v>50</v>
      </c>
      <c r="B51" s="4">
        <v>45162</v>
      </c>
      <c r="C51" s="9" t="str">
        <f t="shared" si="0"/>
        <v>August</v>
      </c>
      <c r="D51" s="3" t="s">
        <v>63</v>
      </c>
      <c r="E51" s="3" t="s">
        <v>13</v>
      </c>
      <c r="F51" s="3">
        <v>27</v>
      </c>
      <c r="G51" s="8" t="str" cm="1">
        <f t="array" ref="G51">_xlfn.IFS(
    F51 &lt; 25, "Young",
    F51 &lt;= 40, "Mid-Age",
    F51 &gt; 40, "Old-Age"
)</f>
        <v>Mid-Age</v>
      </c>
      <c r="H51" s="3" t="s">
        <v>11</v>
      </c>
      <c r="I51" s="3">
        <v>3</v>
      </c>
      <c r="J51" s="3">
        <v>25</v>
      </c>
      <c r="K51" s="3">
        <v>75</v>
      </c>
      <c r="L51" s="3">
        <f t="shared" si="1"/>
        <v>0.74222839292958409</v>
      </c>
    </row>
    <row r="52" spans="1:12" x14ac:dyDescent="0.3">
      <c r="A52" s="3">
        <v>51</v>
      </c>
      <c r="B52" s="4">
        <v>45201</v>
      </c>
      <c r="C52" s="9" t="str">
        <f t="shared" si="0"/>
        <v>October</v>
      </c>
      <c r="D52" s="3" t="s">
        <v>64</v>
      </c>
      <c r="E52" s="3" t="s">
        <v>10</v>
      </c>
      <c r="F52" s="3">
        <v>27</v>
      </c>
      <c r="G52" s="8" t="str" cm="1">
        <f t="array" ref="G52">_xlfn.IFS(
    F52 &lt; 25, "Young",
    F52 &lt;= 40, "Mid-Age",
    F52 &gt; 40, "Old-Age"
)</f>
        <v>Mid-Age</v>
      </c>
      <c r="H52" s="3" t="s">
        <v>11</v>
      </c>
      <c r="I52" s="3">
        <v>3</v>
      </c>
      <c r="J52" s="3">
        <v>25</v>
      </c>
      <c r="K52" s="3">
        <v>75</v>
      </c>
      <c r="L52" s="3">
        <f t="shared" si="1"/>
        <v>0.74061068552159204</v>
      </c>
    </row>
    <row r="53" spans="1:12" x14ac:dyDescent="0.3">
      <c r="A53" s="3">
        <v>52</v>
      </c>
      <c r="B53" s="4">
        <v>44990</v>
      </c>
      <c r="C53" s="9" t="str">
        <f t="shared" si="0"/>
        <v>March</v>
      </c>
      <c r="D53" s="3" t="s">
        <v>65</v>
      </c>
      <c r="E53" s="3" t="s">
        <v>13</v>
      </c>
      <c r="F53" s="3">
        <v>36</v>
      </c>
      <c r="G53" s="8" t="str" cm="1">
        <f t="array" ref="G53">_xlfn.IFS(
    F53 &lt; 25, "Young",
    F53 &lt;= 40, "Mid-Age",
    F53 &gt; 40, "Old-Age"
)</f>
        <v>Mid-Age</v>
      </c>
      <c r="H53" s="3" t="s">
        <v>11</v>
      </c>
      <c r="I53" s="3">
        <v>1</v>
      </c>
      <c r="J53" s="3">
        <v>300</v>
      </c>
      <c r="K53" s="3">
        <v>300</v>
      </c>
      <c r="L53" s="3">
        <f t="shared" si="1"/>
        <v>0.73899102684403728</v>
      </c>
    </row>
    <row r="54" spans="1:12" x14ac:dyDescent="0.3">
      <c r="A54" s="3">
        <v>53</v>
      </c>
      <c r="B54" s="4">
        <v>45120</v>
      </c>
      <c r="C54" s="9" t="str">
        <f t="shared" si="0"/>
        <v>July</v>
      </c>
      <c r="D54" s="3" t="s">
        <v>66</v>
      </c>
      <c r="E54" s="3" t="s">
        <v>10</v>
      </c>
      <c r="F54" s="3">
        <v>34</v>
      </c>
      <c r="G54" s="8" t="str" cm="1">
        <f t="array" ref="G54">_xlfn.IFS(
    F54 &lt; 25, "Young",
    F54 &lt;= 40, "Mid-Age",
    F54 &gt; 40, "Old-Age"
)</f>
        <v>Mid-Age</v>
      </c>
      <c r="H54" s="3" t="s">
        <v>16</v>
      </c>
      <c r="I54" s="3">
        <v>2</v>
      </c>
      <c r="J54" s="3">
        <v>50</v>
      </c>
      <c r="K54" s="3">
        <v>100</v>
      </c>
      <c r="L54" s="3">
        <f t="shared" si="1"/>
        <v>0.74081382448800781</v>
      </c>
    </row>
    <row r="55" spans="1:12" x14ac:dyDescent="0.3">
      <c r="A55" s="3">
        <v>54</v>
      </c>
      <c r="B55" s="4">
        <v>44967</v>
      </c>
      <c r="C55" s="9" t="str">
        <f t="shared" si="0"/>
        <v>February</v>
      </c>
      <c r="D55" s="3" t="s">
        <v>67</v>
      </c>
      <c r="E55" s="3" t="s">
        <v>13</v>
      </c>
      <c r="F55" s="3">
        <v>38</v>
      </c>
      <c r="G55" s="8" t="str" cm="1">
        <f t="array" ref="G55">_xlfn.IFS(
    F55 &lt; 25, "Young",
    F55 &lt;= 40, "Mid-Age",
    F55 &gt; 40, "Old-Age"
)</f>
        <v>Mid-Age</v>
      </c>
      <c r="H55" s="3" t="s">
        <v>16</v>
      </c>
      <c r="I55" s="3">
        <v>3</v>
      </c>
      <c r="J55" s="3">
        <v>500</v>
      </c>
      <c r="K55" s="3">
        <v>1500</v>
      </c>
      <c r="L55" s="3">
        <f t="shared" si="1"/>
        <v>0.73914184686125706</v>
      </c>
    </row>
    <row r="56" spans="1:12" x14ac:dyDescent="0.3">
      <c r="A56" s="3">
        <v>55</v>
      </c>
      <c r="B56" s="4">
        <v>45209</v>
      </c>
      <c r="C56" s="9" t="str">
        <f t="shared" si="0"/>
        <v>October</v>
      </c>
      <c r="D56" s="3" t="s">
        <v>68</v>
      </c>
      <c r="E56" s="3" t="s">
        <v>10</v>
      </c>
      <c r="F56" s="3">
        <v>31</v>
      </c>
      <c r="G56" s="8" t="str" cm="1">
        <f t="array" ref="G56">_xlfn.IFS(
    F56 &lt; 25, "Young",
    F56 &lt;= 40, "Mid-Age",
    F56 &gt; 40, "Old-Age"
)</f>
        <v>Mid-Age</v>
      </c>
      <c r="H56" s="3" t="s">
        <v>11</v>
      </c>
      <c r="I56" s="3">
        <v>4</v>
      </c>
      <c r="J56" s="3">
        <v>30</v>
      </c>
      <c r="K56" s="3">
        <v>120</v>
      </c>
      <c r="L56" s="3">
        <f t="shared" si="1"/>
        <v>0.74236254394024759</v>
      </c>
    </row>
    <row r="57" spans="1:12" x14ac:dyDescent="0.3">
      <c r="A57" s="3">
        <v>56</v>
      </c>
      <c r="B57" s="4">
        <v>45077</v>
      </c>
      <c r="C57" s="9" t="str">
        <f t="shared" si="0"/>
        <v>May</v>
      </c>
      <c r="D57" s="3" t="s">
        <v>69</v>
      </c>
      <c r="E57" s="3" t="s">
        <v>13</v>
      </c>
      <c r="F57" s="3">
        <v>26</v>
      </c>
      <c r="G57" s="8" t="str" cm="1">
        <f t="array" ref="G57">_xlfn.IFS(
    F57 &lt; 25, "Young",
    F57 &lt;= 40, "Mid-Age",
    F57 &gt; 40, "Old-Age"
)</f>
        <v>Mid-Age</v>
      </c>
      <c r="H57" s="3" t="s">
        <v>14</v>
      </c>
      <c r="I57" s="3">
        <v>3</v>
      </c>
      <c r="J57" s="3">
        <v>300</v>
      </c>
      <c r="K57" s="3">
        <v>900</v>
      </c>
      <c r="L57" s="3">
        <f t="shared" si="1"/>
        <v>0.74071652677237088</v>
      </c>
    </row>
    <row r="58" spans="1:12" x14ac:dyDescent="0.3">
      <c r="A58" s="3">
        <v>57</v>
      </c>
      <c r="B58" s="4">
        <v>45248</v>
      </c>
      <c r="C58" s="9" t="str">
        <f t="shared" si="0"/>
        <v>November</v>
      </c>
      <c r="D58" s="3" t="s">
        <v>70</v>
      </c>
      <c r="E58" s="3" t="s">
        <v>13</v>
      </c>
      <c r="F58" s="3">
        <v>63</v>
      </c>
      <c r="G58" s="8" t="str" cm="1">
        <f t="array" ref="G58">_xlfn.IFS(
    F58 &lt; 25, "Young",
    F58 &lt;= 40, "Mid-Age",
    F58 &gt; 40, "Old-Age"
)</f>
        <v>Old-Age</v>
      </c>
      <c r="H58" s="3" t="s">
        <v>11</v>
      </c>
      <c r="I58" s="3">
        <v>1</v>
      </c>
      <c r="J58" s="3">
        <v>30</v>
      </c>
      <c r="K58" s="3">
        <v>30</v>
      </c>
      <c r="L58" s="3">
        <f t="shared" si="1"/>
        <v>0.74255070864138162</v>
      </c>
    </row>
    <row r="59" spans="1:12" x14ac:dyDescent="0.3">
      <c r="A59" s="3">
        <v>58</v>
      </c>
      <c r="B59" s="4">
        <v>45243</v>
      </c>
      <c r="C59" s="9" t="str">
        <f t="shared" si="0"/>
        <v>November</v>
      </c>
      <c r="D59" s="3" t="s">
        <v>71</v>
      </c>
      <c r="E59" s="3" t="s">
        <v>10</v>
      </c>
      <c r="F59" s="3">
        <v>18</v>
      </c>
      <c r="G59" s="8" t="str" cm="1">
        <f t="array" ref="G59">_xlfn.IFS(
    F59 &lt; 25, "Young",
    F59 &lt;= 40, "Mid-Age",
    F59 &gt; 40, "Old-Age"
)</f>
        <v>Young</v>
      </c>
      <c r="H59" s="3" t="s">
        <v>14</v>
      </c>
      <c r="I59" s="3">
        <v>4</v>
      </c>
      <c r="J59" s="3">
        <v>300</v>
      </c>
      <c r="K59" s="3">
        <v>1200</v>
      </c>
      <c r="L59" s="3">
        <f t="shared" si="1"/>
        <v>0.7409011238470562</v>
      </c>
    </row>
    <row r="60" spans="1:12" x14ac:dyDescent="0.3">
      <c r="A60" s="3">
        <v>59</v>
      </c>
      <c r="B60" s="4">
        <v>45112</v>
      </c>
      <c r="C60" s="9" t="str">
        <f t="shared" si="0"/>
        <v>July</v>
      </c>
      <c r="D60" s="3" t="s">
        <v>72</v>
      </c>
      <c r="E60" s="3" t="s">
        <v>10</v>
      </c>
      <c r="F60" s="3">
        <v>62</v>
      </c>
      <c r="G60" s="8" t="str" cm="1">
        <f t="array" ref="G60">_xlfn.IFS(
    F60 &lt; 25, "Young",
    F60 &lt;= 40, "Mid-Age",
    F60 &gt; 40, "Old-Age"
)</f>
        <v>Old-Age</v>
      </c>
      <c r="H60" s="3" t="s">
        <v>14</v>
      </c>
      <c r="I60" s="3">
        <v>1</v>
      </c>
      <c r="J60" s="3">
        <v>50</v>
      </c>
      <c r="K60" s="3">
        <v>50</v>
      </c>
      <c r="L60" s="3">
        <f t="shared" si="1"/>
        <v>0.74273755989811563</v>
      </c>
    </row>
    <row r="61" spans="1:12" x14ac:dyDescent="0.3">
      <c r="A61" s="3">
        <v>60</v>
      </c>
      <c r="B61" s="4">
        <v>45222</v>
      </c>
      <c r="C61" s="9" t="str">
        <f t="shared" si="0"/>
        <v>October</v>
      </c>
      <c r="D61" s="3" t="s">
        <v>73</v>
      </c>
      <c r="E61" s="3" t="s">
        <v>10</v>
      </c>
      <c r="F61" s="3">
        <v>30</v>
      </c>
      <c r="G61" s="8" t="str" cm="1">
        <f t="array" ref="G61">_xlfn.IFS(
    F61 &lt; 25, "Young",
    F61 &lt;= 40, "Mid-Age",
    F61 &gt; 40, "Old-Age"
)</f>
        <v>Mid-Age</v>
      </c>
      <c r="H61" s="3" t="s">
        <v>11</v>
      </c>
      <c r="I61" s="3">
        <v>3</v>
      </c>
      <c r="J61" s="3">
        <v>50</v>
      </c>
      <c r="K61" s="3">
        <v>150</v>
      </c>
      <c r="L61" s="3">
        <f t="shared" si="1"/>
        <v>0.74105541410378561</v>
      </c>
    </row>
    <row r="62" spans="1:12" x14ac:dyDescent="0.3">
      <c r="A62" s="3">
        <v>61</v>
      </c>
      <c r="B62" s="4">
        <v>45025</v>
      </c>
      <c r="C62" s="9" t="str">
        <f t="shared" si="0"/>
        <v>April</v>
      </c>
      <c r="D62" s="3" t="s">
        <v>74</v>
      </c>
      <c r="E62" s="3" t="s">
        <v>10</v>
      </c>
      <c r="F62" s="3">
        <v>21</v>
      </c>
      <c r="G62" s="8" t="str" cm="1">
        <f t="array" ref="G62">_xlfn.IFS(
    F62 &lt; 25, "Young",
    F62 &lt;= 40, "Mid-Age",
    F62 &gt; 40, "Old-Age"
)</f>
        <v>Young</v>
      </c>
      <c r="H62" s="3" t="s">
        <v>11</v>
      </c>
      <c r="I62" s="3">
        <v>4</v>
      </c>
      <c r="J62" s="3">
        <v>50</v>
      </c>
      <c r="K62" s="3">
        <v>200</v>
      </c>
      <c r="L62" s="3">
        <f t="shared" si="1"/>
        <v>0.73937106976582156</v>
      </c>
    </row>
    <row r="63" spans="1:12" x14ac:dyDescent="0.3">
      <c r="A63" s="3">
        <v>62</v>
      </c>
      <c r="B63" s="4">
        <v>45287</v>
      </c>
      <c r="C63" s="9" t="str">
        <f t="shared" si="0"/>
        <v>December</v>
      </c>
      <c r="D63" s="3" t="s">
        <v>75</v>
      </c>
      <c r="E63" s="3" t="s">
        <v>10</v>
      </c>
      <c r="F63" s="3">
        <v>18</v>
      </c>
      <c r="G63" s="8" t="str" cm="1">
        <f t="array" ref="G63">_xlfn.IFS(
    F63 &lt; 25, "Young",
    F63 &lt;= 40, "Mid-Age",
    F63 &gt; 40, "Old-Age"
)</f>
        <v>Young</v>
      </c>
      <c r="H63" s="3" t="s">
        <v>11</v>
      </c>
      <c r="I63" s="3">
        <v>2</v>
      </c>
      <c r="J63" s="3">
        <v>50</v>
      </c>
      <c r="K63" s="3">
        <v>100</v>
      </c>
      <c r="L63" s="3">
        <f t="shared" si="1"/>
        <v>0.73768451960133663</v>
      </c>
    </row>
    <row r="64" spans="1:12" x14ac:dyDescent="0.3">
      <c r="A64" s="3">
        <v>63</v>
      </c>
      <c r="B64" s="4">
        <v>44962</v>
      </c>
      <c r="C64" s="9" t="str">
        <f t="shared" si="0"/>
        <v>February</v>
      </c>
      <c r="D64" s="3" t="s">
        <v>76</v>
      </c>
      <c r="E64" s="3" t="s">
        <v>10</v>
      </c>
      <c r="F64" s="3">
        <v>57</v>
      </c>
      <c r="G64" s="8" t="str" cm="1">
        <f t="array" ref="G64">_xlfn.IFS(
    F64 &lt; 25, "Young",
    F64 &lt;= 40, "Mid-Age",
    F64 &gt; 40, "Old-Age"
)</f>
        <v>Old-Age</v>
      </c>
      <c r="H64" s="3" t="s">
        <v>16</v>
      </c>
      <c r="I64" s="3">
        <v>2</v>
      </c>
      <c r="J64" s="3">
        <v>25</v>
      </c>
      <c r="K64" s="3">
        <v>50</v>
      </c>
      <c r="L64" s="3">
        <f t="shared" si="1"/>
        <v>0.73599575629037062</v>
      </c>
    </row>
    <row r="65" spans="1:12" x14ac:dyDescent="0.3">
      <c r="A65" s="3">
        <v>64</v>
      </c>
      <c r="B65" s="4">
        <v>44950</v>
      </c>
      <c r="C65" s="9" t="str">
        <f t="shared" si="0"/>
        <v>January</v>
      </c>
      <c r="D65" s="3" t="s">
        <v>77</v>
      </c>
      <c r="E65" s="3" t="s">
        <v>10</v>
      </c>
      <c r="F65" s="3">
        <v>49</v>
      </c>
      <c r="G65" s="8" t="str" cm="1">
        <f t="array" ref="G65">_xlfn.IFS(
    F65 &lt; 25, "Young",
    F65 &lt;= 40, "Mid-Age",
    F65 &gt; 40, "Old-Age"
)</f>
        <v>Old-Age</v>
      </c>
      <c r="H65" s="3" t="s">
        <v>14</v>
      </c>
      <c r="I65" s="3">
        <v>4</v>
      </c>
      <c r="J65" s="3">
        <v>25</v>
      </c>
      <c r="K65" s="3">
        <v>100</v>
      </c>
      <c r="L65" s="3">
        <f t="shared" si="1"/>
        <v>0.73435352528492281</v>
      </c>
    </row>
    <row r="66" spans="1:12" x14ac:dyDescent="0.3">
      <c r="A66" s="3">
        <v>65</v>
      </c>
      <c r="B66" s="4">
        <v>45265</v>
      </c>
      <c r="C66" s="9" t="str">
        <f t="shared" ref="C66:C129" si="2">TEXT(B66,"mmmm")</f>
        <v>December</v>
      </c>
      <c r="D66" s="3" t="s">
        <v>78</v>
      </c>
      <c r="E66" s="3" t="s">
        <v>10</v>
      </c>
      <c r="F66" s="3">
        <v>51</v>
      </c>
      <c r="G66" s="8" t="str" cm="1">
        <f t="array" ref="G66">_xlfn.IFS(
    F66 &lt; 25, "Young",
    F66 &lt;= 40, "Mid-Age",
    F66 &gt; 40, "Old-Age"
)</f>
        <v>Old-Age</v>
      </c>
      <c r="H66" s="3" t="s">
        <v>16</v>
      </c>
      <c r="I66" s="3">
        <v>4</v>
      </c>
      <c r="J66" s="3">
        <v>500</v>
      </c>
      <c r="K66" s="3">
        <v>2000</v>
      </c>
      <c r="L66" s="3">
        <f t="shared" ref="L66:L129" si="3">SKEW(J66:J1065)</f>
        <v>0.73270927701294952</v>
      </c>
    </row>
    <row r="67" spans="1:12" x14ac:dyDescent="0.3">
      <c r="A67" s="3">
        <v>66</v>
      </c>
      <c r="B67" s="4">
        <v>45043</v>
      </c>
      <c r="C67" s="9" t="str">
        <f t="shared" si="2"/>
        <v>April</v>
      </c>
      <c r="D67" s="3" t="s">
        <v>79</v>
      </c>
      <c r="E67" s="3" t="s">
        <v>13</v>
      </c>
      <c r="F67" s="3">
        <v>45</v>
      </c>
      <c r="G67" s="8" t="str" cm="1">
        <f t="array" ref="G67">_xlfn.IFS(
    F67 &lt; 25, "Young",
    F67 &lt;= 40, "Mid-Age",
    F67 &gt; 40, "Old-Age"
)</f>
        <v>Old-Age</v>
      </c>
      <c r="H67" s="3" t="s">
        <v>16</v>
      </c>
      <c r="I67" s="3">
        <v>1</v>
      </c>
      <c r="J67" s="3">
        <v>30</v>
      </c>
      <c r="K67" s="3">
        <v>30</v>
      </c>
      <c r="L67" s="3">
        <f t="shared" si="3"/>
        <v>0.73595319802338366</v>
      </c>
    </row>
    <row r="68" spans="1:12" x14ac:dyDescent="0.3">
      <c r="A68" s="3">
        <v>67</v>
      </c>
      <c r="B68" s="4">
        <v>45075</v>
      </c>
      <c r="C68" s="9" t="str">
        <f t="shared" si="2"/>
        <v>May</v>
      </c>
      <c r="D68" s="3" t="s">
        <v>80</v>
      </c>
      <c r="E68" s="3" t="s">
        <v>13</v>
      </c>
      <c r="F68" s="3">
        <v>48</v>
      </c>
      <c r="G68" s="8" t="str" cm="1">
        <f t="array" ref="G68">_xlfn.IFS(
    F68 &lt; 25, "Young",
    F68 &lt;= 40, "Mid-Age",
    F68 &gt; 40, "Old-Age"
)</f>
        <v>Old-Age</v>
      </c>
      <c r="H68" s="3" t="s">
        <v>11</v>
      </c>
      <c r="I68" s="3">
        <v>4</v>
      </c>
      <c r="J68" s="3">
        <v>300</v>
      </c>
      <c r="K68" s="3">
        <v>1200</v>
      </c>
      <c r="L68" s="3">
        <f t="shared" si="3"/>
        <v>0.73428608064850531</v>
      </c>
    </row>
    <row r="69" spans="1:12" x14ac:dyDescent="0.3">
      <c r="A69" s="3">
        <v>68</v>
      </c>
      <c r="B69" s="4">
        <v>44967</v>
      </c>
      <c r="C69" s="9" t="str">
        <f t="shared" si="2"/>
        <v>February</v>
      </c>
      <c r="D69" s="3" t="s">
        <v>81</v>
      </c>
      <c r="E69" s="3" t="s">
        <v>10</v>
      </c>
      <c r="F69" s="3">
        <v>25</v>
      </c>
      <c r="G69" s="8" t="str" cm="1">
        <f t="array" ref="G69">_xlfn.IFS(
    F69 &lt; 25, "Young",
    F69 &lt;= 40, "Mid-Age",
    F69 &gt; 40, "Old-Age"
)</f>
        <v>Mid-Age</v>
      </c>
      <c r="H69" s="3" t="s">
        <v>16</v>
      </c>
      <c r="I69" s="3">
        <v>1</v>
      </c>
      <c r="J69" s="3">
        <v>300</v>
      </c>
      <c r="K69" s="3">
        <v>300</v>
      </c>
      <c r="L69" s="3">
        <f t="shared" si="3"/>
        <v>0.73612692462430918</v>
      </c>
    </row>
    <row r="70" spans="1:12" x14ac:dyDescent="0.3">
      <c r="A70" s="3">
        <v>69</v>
      </c>
      <c r="B70" s="4">
        <v>45046</v>
      </c>
      <c r="C70" s="9" t="str">
        <f t="shared" si="2"/>
        <v>April</v>
      </c>
      <c r="D70" s="3" t="s">
        <v>82</v>
      </c>
      <c r="E70" s="3" t="s">
        <v>13</v>
      </c>
      <c r="F70" s="3">
        <v>56</v>
      </c>
      <c r="G70" s="8" t="str" cm="1">
        <f t="array" ref="G70">_xlfn.IFS(
    F70 &lt; 25, "Young",
    F70 &lt;= 40, "Mid-Age",
    F70 &gt; 40, "Old-Age"
)</f>
        <v>Old-Age</v>
      </c>
      <c r="H70" s="3" t="s">
        <v>11</v>
      </c>
      <c r="I70" s="3">
        <v>3</v>
      </c>
      <c r="J70" s="3">
        <v>25</v>
      </c>
      <c r="K70" s="3">
        <v>75</v>
      </c>
      <c r="L70" s="3">
        <f t="shared" si="3"/>
        <v>0.73797157048847362</v>
      </c>
    </row>
    <row r="71" spans="1:12" x14ac:dyDescent="0.3">
      <c r="A71" s="3">
        <v>70</v>
      </c>
      <c r="B71" s="4">
        <v>44978</v>
      </c>
      <c r="C71" s="9" t="str">
        <f t="shared" si="2"/>
        <v>February</v>
      </c>
      <c r="D71" s="3" t="s">
        <v>83</v>
      </c>
      <c r="E71" s="3" t="s">
        <v>13</v>
      </c>
      <c r="F71" s="3">
        <v>43</v>
      </c>
      <c r="G71" s="8" t="str" cm="1">
        <f t="array" ref="G71">_xlfn.IFS(
    F71 &lt; 25, "Young",
    F71 &lt;= 40, "Mid-Age",
    F71 &gt; 40, "Old-Age"
)</f>
        <v>Old-Age</v>
      </c>
      <c r="H71" s="3" t="s">
        <v>14</v>
      </c>
      <c r="I71" s="3">
        <v>1</v>
      </c>
      <c r="J71" s="3">
        <v>300</v>
      </c>
      <c r="K71" s="3">
        <v>300</v>
      </c>
      <c r="L71" s="3">
        <f t="shared" si="3"/>
        <v>0.73631917160955118</v>
      </c>
    </row>
    <row r="72" spans="1:12" x14ac:dyDescent="0.3">
      <c r="A72" s="3">
        <v>71</v>
      </c>
      <c r="B72" s="4">
        <v>45121</v>
      </c>
      <c r="C72" s="9" t="str">
        <f t="shared" si="2"/>
        <v>July</v>
      </c>
      <c r="D72" s="3" t="s">
        <v>84</v>
      </c>
      <c r="E72" s="3" t="s">
        <v>13</v>
      </c>
      <c r="F72" s="3">
        <v>51</v>
      </c>
      <c r="G72" s="8" t="str" cm="1">
        <f t="array" ref="G72">_xlfn.IFS(
    F72 &lt; 25, "Young",
    F72 &lt;= 40, "Mid-Age",
    F72 &gt; 40, "Old-Age"
)</f>
        <v>Old-Age</v>
      </c>
      <c r="H72" s="3" t="s">
        <v>11</v>
      </c>
      <c r="I72" s="3">
        <v>4</v>
      </c>
      <c r="J72" s="3">
        <v>25</v>
      </c>
      <c r="K72" s="3">
        <v>100</v>
      </c>
      <c r="L72" s="3">
        <f t="shared" si="3"/>
        <v>0.73816604014832854</v>
      </c>
    </row>
    <row r="73" spans="1:12" x14ac:dyDescent="0.3">
      <c r="A73" s="3">
        <v>72</v>
      </c>
      <c r="B73" s="4">
        <v>45069</v>
      </c>
      <c r="C73" s="9" t="str">
        <f t="shared" si="2"/>
        <v>May</v>
      </c>
      <c r="D73" s="3" t="s">
        <v>85</v>
      </c>
      <c r="E73" s="3" t="s">
        <v>13</v>
      </c>
      <c r="F73" s="3">
        <v>20</v>
      </c>
      <c r="G73" s="8" t="str" cm="1">
        <f t="array" ref="G73">_xlfn.IFS(
    F73 &lt; 25, "Young",
    F73 &lt;= 40, "Mid-Age",
    F73 &gt; 40, "Old-Age"
)</f>
        <v>Young</v>
      </c>
      <c r="H73" s="3" t="s">
        <v>16</v>
      </c>
      <c r="I73" s="3">
        <v>4</v>
      </c>
      <c r="J73" s="3">
        <v>500</v>
      </c>
      <c r="K73" s="3">
        <v>2000</v>
      </c>
      <c r="L73" s="3">
        <f t="shared" si="3"/>
        <v>0.73651000272436185</v>
      </c>
    </row>
    <row r="74" spans="1:12" x14ac:dyDescent="0.3">
      <c r="A74" s="3">
        <v>73</v>
      </c>
      <c r="B74" s="4">
        <v>45159</v>
      </c>
      <c r="C74" s="9" t="str">
        <f t="shared" si="2"/>
        <v>August</v>
      </c>
      <c r="D74" s="3" t="s">
        <v>86</v>
      </c>
      <c r="E74" s="3" t="s">
        <v>10</v>
      </c>
      <c r="F74" s="3">
        <v>29</v>
      </c>
      <c r="G74" s="8" t="str" cm="1">
        <f t="array" ref="G74">_xlfn.IFS(
    F74 &lt; 25, "Young",
    F74 &lt;= 40, "Mid-Age",
    F74 &gt; 40, "Old-Age"
)</f>
        <v>Mid-Age</v>
      </c>
      <c r="H74" s="3" t="s">
        <v>16</v>
      </c>
      <c r="I74" s="3">
        <v>3</v>
      </c>
      <c r="J74" s="3">
        <v>30</v>
      </c>
      <c r="K74" s="3">
        <v>90</v>
      </c>
      <c r="L74" s="3">
        <f t="shared" si="3"/>
        <v>0.73979321509178753</v>
      </c>
    </row>
    <row r="75" spans="1:12" x14ac:dyDescent="0.3">
      <c r="A75" s="3">
        <v>74</v>
      </c>
      <c r="B75" s="4">
        <v>45252</v>
      </c>
      <c r="C75" s="9" t="str">
        <f t="shared" si="2"/>
        <v>November</v>
      </c>
      <c r="D75" s="3" t="s">
        <v>87</v>
      </c>
      <c r="E75" s="3" t="s">
        <v>13</v>
      </c>
      <c r="F75" s="3">
        <v>18</v>
      </c>
      <c r="G75" s="8" t="str" cm="1">
        <f t="array" ref="G75">_xlfn.IFS(
    F75 &lt; 25, "Young",
    F75 &lt;= 40, "Mid-Age",
    F75 &gt; 40, "Old-Age"
)</f>
        <v>Young</v>
      </c>
      <c r="H75" s="3" t="s">
        <v>11</v>
      </c>
      <c r="I75" s="3">
        <v>4</v>
      </c>
      <c r="J75" s="3">
        <v>500</v>
      </c>
      <c r="K75" s="3">
        <v>2000</v>
      </c>
      <c r="L75" s="3">
        <f t="shared" si="3"/>
        <v>0.73811419817358892</v>
      </c>
    </row>
    <row r="76" spans="1:12" x14ac:dyDescent="0.3">
      <c r="A76" s="3">
        <v>75</v>
      </c>
      <c r="B76" s="4">
        <v>45113</v>
      </c>
      <c r="C76" s="9" t="str">
        <f t="shared" si="2"/>
        <v>July</v>
      </c>
      <c r="D76" s="3" t="s">
        <v>88</v>
      </c>
      <c r="E76" s="3" t="s">
        <v>10</v>
      </c>
      <c r="F76" s="3">
        <v>61</v>
      </c>
      <c r="G76" s="8" t="str" cm="1">
        <f t="array" ref="G76">_xlfn.IFS(
    F76 &lt; 25, "Young",
    F76 &lt;= 40, "Mid-Age",
    F76 &gt; 40, "Old-Age"
)</f>
        <v>Old-Age</v>
      </c>
      <c r="H76" s="3" t="s">
        <v>11</v>
      </c>
      <c r="I76" s="3">
        <v>4</v>
      </c>
      <c r="J76" s="3">
        <v>50</v>
      </c>
      <c r="K76" s="3">
        <v>200</v>
      </c>
      <c r="L76" s="3">
        <f t="shared" si="3"/>
        <v>0.74140658869071141</v>
      </c>
    </row>
    <row r="77" spans="1:12" x14ac:dyDescent="0.3">
      <c r="A77" s="3">
        <v>76</v>
      </c>
      <c r="B77" s="4">
        <v>45010</v>
      </c>
      <c r="C77" s="9" t="str">
        <f t="shared" si="2"/>
        <v>March</v>
      </c>
      <c r="D77" s="3" t="s">
        <v>89</v>
      </c>
      <c r="E77" s="3" t="s">
        <v>13</v>
      </c>
      <c r="F77" s="3">
        <v>22</v>
      </c>
      <c r="G77" s="8" t="str" cm="1">
        <f t="array" ref="G77">_xlfn.IFS(
    F77 &lt; 25, "Young",
    F77 &lt;= 40, "Mid-Age",
    F77 &gt; 40, "Old-Age"
)</f>
        <v>Young</v>
      </c>
      <c r="H77" s="3" t="s">
        <v>16</v>
      </c>
      <c r="I77" s="3">
        <v>2</v>
      </c>
      <c r="J77" s="3">
        <v>50</v>
      </c>
      <c r="K77" s="3">
        <v>100</v>
      </c>
      <c r="L77" s="3">
        <f t="shared" si="3"/>
        <v>0.7396949975184508</v>
      </c>
    </row>
    <row r="78" spans="1:12" x14ac:dyDescent="0.3">
      <c r="A78" s="3">
        <v>77</v>
      </c>
      <c r="B78" s="4">
        <v>45116</v>
      </c>
      <c r="C78" s="9" t="str">
        <f t="shared" si="2"/>
        <v>July</v>
      </c>
      <c r="D78" s="3" t="s">
        <v>90</v>
      </c>
      <c r="E78" s="3" t="s">
        <v>13</v>
      </c>
      <c r="F78" s="3">
        <v>47</v>
      </c>
      <c r="G78" s="8" t="str" cm="1">
        <f t="array" ref="G78">_xlfn.IFS(
    F78 &lt; 25, "Young",
    F78 &lt;= 40, "Mid-Age",
    F78 &gt; 40, "Old-Age"
)</f>
        <v>Old-Age</v>
      </c>
      <c r="H78" s="3" t="s">
        <v>14</v>
      </c>
      <c r="I78" s="3">
        <v>2</v>
      </c>
      <c r="J78" s="3">
        <v>50</v>
      </c>
      <c r="K78" s="3">
        <v>100</v>
      </c>
      <c r="L78" s="3">
        <f t="shared" si="3"/>
        <v>0.7379811287634348</v>
      </c>
    </row>
    <row r="79" spans="1:12" x14ac:dyDescent="0.3">
      <c r="A79" s="3">
        <v>78</v>
      </c>
      <c r="B79" s="4">
        <v>45108</v>
      </c>
      <c r="C79" s="9" t="str">
        <f t="shared" si="2"/>
        <v>July</v>
      </c>
      <c r="D79" s="3" t="s">
        <v>91</v>
      </c>
      <c r="E79" s="3" t="s">
        <v>13</v>
      </c>
      <c r="F79" s="3">
        <v>47</v>
      </c>
      <c r="G79" s="8" t="str" cm="1">
        <f t="array" ref="G79">_xlfn.IFS(
    F79 &lt; 25, "Young",
    F79 &lt;= 40, "Mid-Age",
    F79 &gt; 40, "Old-Age"
)</f>
        <v>Old-Age</v>
      </c>
      <c r="H79" s="3" t="s">
        <v>14</v>
      </c>
      <c r="I79" s="3">
        <v>3</v>
      </c>
      <c r="J79" s="3">
        <v>500</v>
      </c>
      <c r="K79" s="3">
        <v>1500</v>
      </c>
      <c r="L79" s="3">
        <f t="shared" si="3"/>
        <v>0.73626497474548591</v>
      </c>
    </row>
    <row r="80" spans="1:12" x14ac:dyDescent="0.3">
      <c r="A80" s="3">
        <v>79</v>
      </c>
      <c r="B80" s="4">
        <v>45034</v>
      </c>
      <c r="C80" s="9" t="str">
        <f t="shared" si="2"/>
        <v>April</v>
      </c>
      <c r="D80" s="3" t="s">
        <v>92</v>
      </c>
      <c r="E80" s="3" t="s">
        <v>10</v>
      </c>
      <c r="F80" s="3">
        <v>34</v>
      </c>
      <c r="G80" s="8" t="str" cm="1">
        <f t="array" ref="G80">_xlfn.IFS(
    F80 &lt; 25, "Young",
    F80 &lt;= 40, "Mid-Age",
    F80 &gt; 40, "Old-Age"
)</f>
        <v>Mid-Age</v>
      </c>
      <c r="H80" s="3" t="s">
        <v>11</v>
      </c>
      <c r="I80" s="3">
        <v>1</v>
      </c>
      <c r="J80" s="3">
        <v>300</v>
      </c>
      <c r="K80" s="3">
        <v>300</v>
      </c>
      <c r="L80" s="3">
        <f t="shared" si="3"/>
        <v>0.73956444199041427</v>
      </c>
    </row>
    <row r="81" spans="1:12" x14ac:dyDescent="0.3">
      <c r="A81" s="3">
        <v>80</v>
      </c>
      <c r="B81" s="4">
        <v>45270</v>
      </c>
      <c r="C81" s="9" t="str">
        <f t="shared" si="2"/>
        <v>December</v>
      </c>
      <c r="D81" s="3" t="s">
        <v>93</v>
      </c>
      <c r="E81" s="3" t="s">
        <v>13</v>
      </c>
      <c r="F81" s="3">
        <v>64</v>
      </c>
      <c r="G81" s="8" t="str" cm="1">
        <f t="array" ref="G81">_xlfn.IFS(
    F81 &lt; 25, "Young",
    F81 &lt;= 40, "Mid-Age",
    F81 &gt; 40, "Old-Age"
)</f>
        <v>Old-Age</v>
      </c>
      <c r="H81" s="3" t="s">
        <v>14</v>
      </c>
      <c r="I81" s="3">
        <v>2</v>
      </c>
      <c r="J81" s="3">
        <v>30</v>
      </c>
      <c r="K81" s="3">
        <v>60</v>
      </c>
      <c r="L81" s="3">
        <f t="shared" si="3"/>
        <v>0.74144050790773031</v>
      </c>
    </row>
    <row r="82" spans="1:12" x14ac:dyDescent="0.3">
      <c r="A82" s="3">
        <v>81</v>
      </c>
      <c r="B82" s="4">
        <v>45063</v>
      </c>
      <c r="C82" s="9" t="str">
        <f t="shared" si="2"/>
        <v>May</v>
      </c>
      <c r="D82" s="3" t="s">
        <v>94</v>
      </c>
      <c r="E82" s="3" t="s">
        <v>10</v>
      </c>
      <c r="F82" s="3">
        <v>40</v>
      </c>
      <c r="G82" s="8" t="str" cm="1">
        <f t="array" ref="G82">_xlfn.IFS(
    F82 &lt; 25, "Young",
    F82 &lt;= 40, "Mid-Age",
    F82 &gt; 40, "Old-Age"
)</f>
        <v>Mid-Age</v>
      </c>
      <c r="H82" s="3" t="s">
        <v>16</v>
      </c>
      <c r="I82" s="3">
        <v>1</v>
      </c>
      <c r="J82" s="3">
        <v>50</v>
      </c>
      <c r="K82" s="3">
        <v>50</v>
      </c>
      <c r="L82" s="3">
        <f t="shared" si="3"/>
        <v>0.73974895482105008</v>
      </c>
    </row>
    <row r="83" spans="1:12" x14ac:dyDescent="0.3">
      <c r="A83" s="3">
        <v>82</v>
      </c>
      <c r="B83" s="4">
        <v>45286</v>
      </c>
      <c r="C83" s="9" t="str">
        <f t="shared" si="2"/>
        <v>December</v>
      </c>
      <c r="D83" s="3" t="s">
        <v>95</v>
      </c>
      <c r="E83" s="3" t="s">
        <v>13</v>
      </c>
      <c r="F83" s="3">
        <v>32</v>
      </c>
      <c r="G83" s="8" t="str" cm="1">
        <f t="array" ref="G83">_xlfn.IFS(
    F83 &lt; 25, "Young",
    F83 &lt;= 40, "Mid-Age",
    F83 &gt; 40, "Old-Age"
)</f>
        <v>Mid-Age</v>
      </c>
      <c r="H83" s="3" t="s">
        <v>11</v>
      </c>
      <c r="I83" s="3">
        <v>4</v>
      </c>
      <c r="J83" s="3">
        <v>50</v>
      </c>
      <c r="K83" s="3">
        <v>200</v>
      </c>
      <c r="L83" s="3">
        <f t="shared" si="3"/>
        <v>0.73802579159580839</v>
      </c>
    </row>
    <row r="84" spans="1:12" x14ac:dyDescent="0.3">
      <c r="A84" s="3">
        <v>83</v>
      </c>
      <c r="B84" s="4">
        <v>45276</v>
      </c>
      <c r="C84" s="9" t="str">
        <f t="shared" si="2"/>
        <v>December</v>
      </c>
      <c r="D84" s="3" t="s">
        <v>96</v>
      </c>
      <c r="E84" s="3" t="s">
        <v>10</v>
      </c>
      <c r="F84" s="3">
        <v>54</v>
      </c>
      <c r="G84" s="8" t="str" cm="1">
        <f t="array" ref="G84">_xlfn.IFS(
    F84 &lt; 25, "Young",
    F84 &lt;= 40, "Mid-Age",
    F84 &gt; 40, "Old-Age"
)</f>
        <v>Old-Age</v>
      </c>
      <c r="H84" s="3" t="s">
        <v>16</v>
      </c>
      <c r="I84" s="3">
        <v>2</v>
      </c>
      <c r="J84" s="3">
        <v>50</v>
      </c>
      <c r="K84" s="3">
        <v>100</v>
      </c>
      <c r="L84" s="3">
        <f t="shared" si="3"/>
        <v>0.73630031827862064</v>
      </c>
    </row>
    <row r="85" spans="1:12" x14ac:dyDescent="0.3">
      <c r="A85" s="3">
        <v>84</v>
      </c>
      <c r="B85" s="4">
        <v>45258</v>
      </c>
      <c r="C85" s="9" t="str">
        <f t="shared" si="2"/>
        <v>November</v>
      </c>
      <c r="D85" s="3" t="s">
        <v>97</v>
      </c>
      <c r="E85" s="3" t="s">
        <v>13</v>
      </c>
      <c r="F85" s="3">
        <v>38</v>
      </c>
      <c r="G85" s="8" t="str" cm="1">
        <f t="array" ref="G85">_xlfn.IFS(
    F85 &lt; 25, "Young",
    F85 &lt;= 40, "Mid-Age",
    F85 &gt; 40, "Old-Age"
)</f>
        <v>Mid-Age</v>
      </c>
      <c r="H85" s="3" t="s">
        <v>16</v>
      </c>
      <c r="I85" s="3">
        <v>3</v>
      </c>
      <c r="J85" s="3">
        <v>30</v>
      </c>
      <c r="K85" s="3">
        <v>90</v>
      </c>
      <c r="L85" s="3">
        <f t="shared" si="3"/>
        <v>0.73457252702335118</v>
      </c>
    </row>
    <row r="86" spans="1:12" x14ac:dyDescent="0.3">
      <c r="A86" s="3">
        <v>85</v>
      </c>
      <c r="B86" s="4">
        <v>44963</v>
      </c>
      <c r="C86" s="9" t="str">
        <f t="shared" si="2"/>
        <v>February</v>
      </c>
      <c r="D86" s="3" t="s">
        <v>98</v>
      </c>
      <c r="E86" s="3" t="s">
        <v>10</v>
      </c>
      <c r="F86" s="3">
        <v>31</v>
      </c>
      <c r="G86" s="8" t="str" cm="1">
        <f t="array" ref="G86">_xlfn.IFS(
    F86 &lt; 25, "Young",
    F86 &lt;= 40, "Mid-Age",
    F86 &gt; 40, "Old-Age"
)</f>
        <v>Mid-Age</v>
      </c>
      <c r="H86" s="3" t="s">
        <v>14</v>
      </c>
      <c r="I86" s="3">
        <v>3</v>
      </c>
      <c r="J86" s="3">
        <v>50</v>
      </c>
      <c r="K86" s="3">
        <v>150</v>
      </c>
      <c r="L86" s="3">
        <f t="shared" si="3"/>
        <v>0.73287181235012022</v>
      </c>
    </row>
    <row r="87" spans="1:12" x14ac:dyDescent="0.3">
      <c r="A87" s="3">
        <v>86</v>
      </c>
      <c r="B87" s="4">
        <v>45238</v>
      </c>
      <c r="C87" s="9" t="str">
        <f t="shared" si="2"/>
        <v>November</v>
      </c>
      <c r="D87" s="3" t="s">
        <v>99</v>
      </c>
      <c r="E87" s="3" t="s">
        <v>10</v>
      </c>
      <c r="F87" s="3">
        <v>19</v>
      </c>
      <c r="G87" s="8" t="str" cm="1">
        <f t="array" ref="G87">_xlfn.IFS(
    F87 &lt; 25, "Young",
    F87 &lt;= 40, "Mid-Age",
    F87 &gt; 40, "Old-Age"
)</f>
        <v>Young</v>
      </c>
      <c r="H87" s="3" t="s">
        <v>11</v>
      </c>
      <c r="I87" s="3">
        <v>3</v>
      </c>
      <c r="J87" s="3">
        <v>30</v>
      </c>
      <c r="K87" s="3">
        <v>90</v>
      </c>
      <c r="L87" s="3">
        <f t="shared" si="3"/>
        <v>0.7311393516124397</v>
      </c>
    </row>
    <row r="88" spans="1:12" x14ac:dyDescent="0.3">
      <c r="A88" s="3">
        <v>87</v>
      </c>
      <c r="B88" s="4">
        <v>45252</v>
      </c>
      <c r="C88" s="9" t="str">
        <f t="shared" si="2"/>
        <v>November</v>
      </c>
      <c r="D88" s="3" t="s">
        <v>100</v>
      </c>
      <c r="E88" s="3" t="s">
        <v>13</v>
      </c>
      <c r="F88" s="3">
        <v>28</v>
      </c>
      <c r="G88" s="8" t="str" cm="1">
        <f t="array" ref="G88">_xlfn.IFS(
    F88 &lt; 25, "Young",
    F88 &lt;= 40, "Mid-Age",
    F88 &gt; 40, "Old-Age"
)</f>
        <v>Mid-Age</v>
      </c>
      <c r="H88" s="3" t="s">
        <v>11</v>
      </c>
      <c r="I88" s="3">
        <v>2</v>
      </c>
      <c r="J88" s="3">
        <v>50</v>
      </c>
      <c r="K88" s="3">
        <v>100</v>
      </c>
      <c r="L88" s="3">
        <f t="shared" si="3"/>
        <v>0.72943407748134748</v>
      </c>
    </row>
    <row r="89" spans="1:12" x14ac:dyDescent="0.3">
      <c r="A89" s="3">
        <v>88</v>
      </c>
      <c r="B89" s="4">
        <v>45014</v>
      </c>
      <c r="C89" s="9" t="str">
        <f t="shared" si="2"/>
        <v>March</v>
      </c>
      <c r="D89" s="3" t="s">
        <v>101</v>
      </c>
      <c r="E89" s="3" t="s">
        <v>10</v>
      </c>
      <c r="F89" s="3">
        <v>56</v>
      </c>
      <c r="G89" s="8" t="str" cm="1">
        <f t="array" ref="G89">_xlfn.IFS(
    F89 &lt; 25, "Young",
    F89 &lt;= 40, "Mid-Age",
    F89 &gt; 40, "Old-Age"
)</f>
        <v>Old-Age</v>
      </c>
      <c r="H89" s="3" t="s">
        <v>14</v>
      </c>
      <c r="I89" s="3">
        <v>1</v>
      </c>
      <c r="J89" s="3">
        <v>500</v>
      </c>
      <c r="K89" s="3">
        <v>500</v>
      </c>
      <c r="L89" s="3">
        <f t="shared" si="3"/>
        <v>0.72769691558068239</v>
      </c>
    </row>
    <row r="90" spans="1:12" x14ac:dyDescent="0.3">
      <c r="A90" s="3">
        <v>89</v>
      </c>
      <c r="B90" s="4">
        <v>45200</v>
      </c>
      <c r="C90" s="9" t="str">
        <f t="shared" si="2"/>
        <v>October</v>
      </c>
      <c r="D90" s="3" t="s">
        <v>102</v>
      </c>
      <c r="E90" s="3" t="s">
        <v>13</v>
      </c>
      <c r="F90" s="3">
        <v>55</v>
      </c>
      <c r="G90" s="8" t="str" cm="1">
        <f t="array" ref="G90">_xlfn.IFS(
    F90 &lt; 25, "Young",
    F90 &lt;= 40, "Mid-Age",
    F90 &gt; 40, "Old-Age"
)</f>
        <v>Old-Age</v>
      </c>
      <c r="H90" s="3" t="s">
        <v>16</v>
      </c>
      <c r="I90" s="3">
        <v>4</v>
      </c>
      <c r="J90" s="3">
        <v>500</v>
      </c>
      <c r="K90" s="3">
        <v>2000</v>
      </c>
      <c r="L90" s="3">
        <f t="shared" si="3"/>
        <v>0.73100948902893459</v>
      </c>
    </row>
    <row r="91" spans="1:12" x14ac:dyDescent="0.3">
      <c r="A91" s="3">
        <v>90</v>
      </c>
      <c r="B91" s="4">
        <v>45052</v>
      </c>
      <c r="C91" s="9" t="str">
        <f t="shared" si="2"/>
        <v>May</v>
      </c>
      <c r="D91" s="3" t="s">
        <v>103</v>
      </c>
      <c r="E91" s="3" t="s">
        <v>13</v>
      </c>
      <c r="F91" s="3">
        <v>51</v>
      </c>
      <c r="G91" s="8" t="str" cm="1">
        <f t="array" ref="G91">_xlfn.IFS(
    F91 &lt; 25, "Young",
    F91 &lt;= 40, "Mid-Age",
    F91 &gt; 40, "Old-Age"
)</f>
        <v>Old-Age</v>
      </c>
      <c r="H91" s="3" t="s">
        <v>16</v>
      </c>
      <c r="I91" s="3">
        <v>1</v>
      </c>
      <c r="J91" s="3">
        <v>30</v>
      </c>
      <c r="K91" s="3">
        <v>30</v>
      </c>
      <c r="L91" s="3">
        <f t="shared" si="3"/>
        <v>0.73433232782868851</v>
      </c>
    </row>
    <row r="92" spans="1:12" x14ac:dyDescent="0.3">
      <c r="A92" s="3">
        <v>91</v>
      </c>
      <c r="B92" s="4">
        <v>45010</v>
      </c>
      <c r="C92" s="9" t="str">
        <f t="shared" si="2"/>
        <v>March</v>
      </c>
      <c r="D92" s="3" t="s">
        <v>104</v>
      </c>
      <c r="E92" s="3" t="s">
        <v>13</v>
      </c>
      <c r="F92" s="3">
        <v>55</v>
      </c>
      <c r="G92" s="8" t="str" cm="1">
        <f t="array" ref="G92">_xlfn.IFS(
    F92 &lt; 25, "Young",
    F92 &lt;= 40, "Mid-Age",
    F92 &gt; 40, "Old-Age"
)</f>
        <v>Old-Age</v>
      </c>
      <c r="H92" s="3" t="s">
        <v>16</v>
      </c>
      <c r="I92" s="3">
        <v>1</v>
      </c>
      <c r="J92" s="3">
        <v>500</v>
      </c>
      <c r="K92" s="3">
        <v>500</v>
      </c>
      <c r="L92" s="3">
        <f t="shared" si="3"/>
        <v>0.73262050746261642</v>
      </c>
    </row>
    <row r="93" spans="1:12" x14ac:dyDescent="0.3">
      <c r="A93" s="3">
        <v>92</v>
      </c>
      <c r="B93" s="4">
        <v>45163</v>
      </c>
      <c r="C93" s="9" t="str">
        <f t="shared" si="2"/>
        <v>August</v>
      </c>
      <c r="D93" s="3" t="s">
        <v>105</v>
      </c>
      <c r="E93" s="3" t="s">
        <v>13</v>
      </c>
      <c r="F93" s="3">
        <v>51</v>
      </c>
      <c r="G93" s="8" t="str" cm="1">
        <f t="array" ref="G93">_xlfn.IFS(
    F93 &lt; 25, "Young",
    F93 &lt;= 40, "Mid-Age",
    F93 &gt; 40, "Old-Age"
)</f>
        <v>Old-Age</v>
      </c>
      <c r="H93" s="3" t="s">
        <v>16</v>
      </c>
      <c r="I93" s="3">
        <v>4</v>
      </c>
      <c r="J93" s="3">
        <v>30</v>
      </c>
      <c r="K93" s="3">
        <v>120</v>
      </c>
      <c r="L93" s="3">
        <f t="shared" si="3"/>
        <v>0.7359526640523445</v>
      </c>
    </row>
    <row r="94" spans="1:12" x14ac:dyDescent="0.3">
      <c r="A94" s="3">
        <v>93</v>
      </c>
      <c r="B94" s="4">
        <v>45121</v>
      </c>
      <c r="C94" s="9" t="str">
        <f t="shared" si="2"/>
        <v>July</v>
      </c>
      <c r="D94" s="3" t="s">
        <v>106</v>
      </c>
      <c r="E94" s="3" t="s">
        <v>13</v>
      </c>
      <c r="F94" s="3">
        <v>35</v>
      </c>
      <c r="G94" s="8" t="str" cm="1">
        <f t="array" ref="G94">_xlfn.IFS(
    F94 &lt; 25, "Young",
    F94 &lt;= 40, "Mid-Age",
    F94 &gt; 40, "Old-Age"
)</f>
        <v>Mid-Age</v>
      </c>
      <c r="H94" s="3" t="s">
        <v>11</v>
      </c>
      <c r="I94" s="3">
        <v>4</v>
      </c>
      <c r="J94" s="3">
        <v>500</v>
      </c>
      <c r="K94" s="3">
        <v>2000</v>
      </c>
      <c r="L94" s="3">
        <f t="shared" si="3"/>
        <v>0.73423761791841224</v>
      </c>
    </row>
    <row r="95" spans="1:12" x14ac:dyDescent="0.3">
      <c r="A95" s="3">
        <v>94</v>
      </c>
      <c r="B95" s="4">
        <v>45065</v>
      </c>
      <c r="C95" s="9" t="str">
        <f t="shared" si="2"/>
        <v>May</v>
      </c>
      <c r="D95" s="3" t="s">
        <v>107</v>
      </c>
      <c r="E95" s="3" t="s">
        <v>13</v>
      </c>
      <c r="F95" s="3">
        <v>47</v>
      </c>
      <c r="G95" s="8" t="str" cm="1">
        <f t="array" ref="G95">_xlfn.IFS(
    F95 &lt; 25, "Young",
    F95 &lt;= 40, "Mid-Age",
    F95 &gt; 40, "Old-Age"
)</f>
        <v>Old-Age</v>
      </c>
      <c r="H95" s="3" t="s">
        <v>11</v>
      </c>
      <c r="I95" s="3">
        <v>2</v>
      </c>
      <c r="J95" s="3">
        <v>500</v>
      </c>
      <c r="K95" s="3">
        <v>1000</v>
      </c>
      <c r="L95" s="3">
        <f t="shared" si="3"/>
        <v>0.73757911905394213</v>
      </c>
    </row>
    <row r="96" spans="1:12" x14ac:dyDescent="0.3">
      <c r="A96" s="3">
        <v>95</v>
      </c>
      <c r="B96" s="4">
        <v>45254</v>
      </c>
      <c r="C96" s="9" t="str">
        <f t="shared" si="2"/>
        <v>November</v>
      </c>
      <c r="D96" s="3" t="s">
        <v>108</v>
      </c>
      <c r="E96" s="3" t="s">
        <v>13</v>
      </c>
      <c r="F96" s="3">
        <v>32</v>
      </c>
      <c r="G96" s="8" t="str" cm="1">
        <f t="array" ref="G96">_xlfn.IFS(
    F96 &lt; 25, "Young",
    F96 &lt;= 40, "Mid-Age",
    F96 &gt; 40, "Old-Age"
)</f>
        <v>Mid-Age</v>
      </c>
      <c r="H96" s="3" t="s">
        <v>14</v>
      </c>
      <c r="I96" s="3">
        <v>2</v>
      </c>
      <c r="J96" s="3">
        <v>30</v>
      </c>
      <c r="K96" s="3">
        <v>60</v>
      </c>
      <c r="L96" s="3">
        <f t="shared" si="3"/>
        <v>0.74093099469340495</v>
      </c>
    </row>
    <row r="97" spans="1:12" x14ac:dyDescent="0.3">
      <c r="A97" s="3">
        <v>96</v>
      </c>
      <c r="B97" s="4">
        <v>45279</v>
      </c>
      <c r="C97" s="9" t="str">
        <f t="shared" si="2"/>
        <v>December</v>
      </c>
      <c r="D97" s="3" t="s">
        <v>109</v>
      </c>
      <c r="E97" s="3" t="s">
        <v>13</v>
      </c>
      <c r="F97" s="3">
        <v>44</v>
      </c>
      <c r="G97" s="8" t="str" cm="1">
        <f t="array" ref="G97">_xlfn.IFS(
    F97 &lt; 25, "Young",
    F97 &lt;= 40, "Mid-Age",
    F97 &gt; 40, "Old-Age"
)</f>
        <v>Old-Age</v>
      </c>
      <c r="H97" s="3" t="s">
        <v>14</v>
      </c>
      <c r="I97" s="3">
        <v>2</v>
      </c>
      <c r="J97" s="3">
        <v>300</v>
      </c>
      <c r="K97" s="3">
        <v>600</v>
      </c>
      <c r="L97" s="3">
        <f t="shared" si="3"/>
        <v>0.73921170524219959</v>
      </c>
    </row>
    <row r="98" spans="1:12" x14ac:dyDescent="0.3">
      <c r="A98" s="3">
        <v>97</v>
      </c>
      <c r="B98" s="4">
        <v>45212</v>
      </c>
      <c r="C98" s="9" t="str">
        <f t="shared" si="2"/>
        <v>October</v>
      </c>
      <c r="D98" s="3" t="s">
        <v>110</v>
      </c>
      <c r="E98" s="3" t="s">
        <v>13</v>
      </c>
      <c r="F98" s="3">
        <v>51</v>
      </c>
      <c r="G98" s="8" t="str" cm="1">
        <f t="array" ref="G98">_xlfn.IFS(
    F98 &lt; 25, "Young",
    F98 &lt;= 40, "Mid-Age",
    F98 &gt; 40, "Old-Age"
)</f>
        <v>Old-Age</v>
      </c>
      <c r="H98" s="3" t="s">
        <v>11</v>
      </c>
      <c r="I98" s="3">
        <v>2</v>
      </c>
      <c r="J98" s="3">
        <v>500</v>
      </c>
      <c r="K98" s="3">
        <v>1000</v>
      </c>
      <c r="L98" s="3">
        <f t="shared" si="3"/>
        <v>0.74113135777747796</v>
      </c>
    </row>
    <row r="99" spans="1:12" x14ac:dyDescent="0.3">
      <c r="A99" s="3">
        <v>98</v>
      </c>
      <c r="B99" s="4">
        <v>45039</v>
      </c>
      <c r="C99" s="9" t="str">
        <f t="shared" si="2"/>
        <v>April</v>
      </c>
      <c r="D99" s="3" t="s">
        <v>111</v>
      </c>
      <c r="E99" s="3" t="s">
        <v>13</v>
      </c>
      <c r="F99" s="3">
        <v>55</v>
      </c>
      <c r="G99" s="8" t="str" cm="1">
        <f t="array" ref="G99">_xlfn.IFS(
    F99 &lt; 25, "Young",
    F99 &lt;= 40, "Mid-Age",
    F99 &gt; 40, "Old-Age"
)</f>
        <v>Old-Age</v>
      </c>
      <c r="H99" s="3" t="s">
        <v>11</v>
      </c>
      <c r="I99" s="3">
        <v>2</v>
      </c>
      <c r="J99" s="3">
        <v>50</v>
      </c>
      <c r="K99" s="3">
        <v>100</v>
      </c>
      <c r="L99" s="3">
        <f t="shared" si="3"/>
        <v>0.74450416838542111</v>
      </c>
    </row>
    <row r="100" spans="1:12" x14ac:dyDescent="0.3">
      <c r="A100" s="3">
        <v>99</v>
      </c>
      <c r="B100" s="4">
        <v>45277</v>
      </c>
      <c r="C100" s="9" t="str">
        <f t="shared" si="2"/>
        <v>December</v>
      </c>
      <c r="D100" s="3" t="s">
        <v>112</v>
      </c>
      <c r="E100" s="3" t="s">
        <v>13</v>
      </c>
      <c r="F100" s="3">
        <v>50</v>
      </c>
      <c r="G100" s="8" t="str" cm="1">
        <f t="array" ref="G100">_xlfn.IFS(
    F100 &lt; 25, "Young",
    F100 &lt;= 40, "Mid-Age",
    F100 &gt; 40, "Old-Age"
)</f>
        <v>Old-Age</v>
      </c>
      <c r="H100" s="3" t="s">
        <v>16</v>
      </c>
      <c r="I100" s="3">
        <v>4</v>
      </c>
      <c r="J100" s="3">
        <v>300</v>
      </c>
      <c r="K100" s="3">
        <v>1200</v>
      </c>
      <c r="L100" s="3">
        <f t="shared" si="3"/>
        <v>0.74274971243536247</v>
      </c>
    </row>
    <row r="101" spans="1:12" x14ac:dyDescent="0.3">
      <c r="A101" s="3">
        <v>100</v>
      </c>
      <c r="B101" s="4">
        <v>45093</v>
      </c>
      <c r="C101" s="9" t="str">
        <f t="shared" si="2"/>
        <v>June</v>
      </c>
      <c r="D101" s="3" t="s">
        <v>113</v>
      </c>
      <c r="E101" s="3" t="s">
        <v>10</v>
      </c>
      <c r="F101" s="3">
        <v>41</v>
      </c>
      <c r="G101" s="8" t="str" cm="1">
        <f t="array" ref="G101">_xlfn.IFS(
    F101 &lt; 25, "Young",
    F101 &lt;= 40, "Mid-Age",
    F101 &gt; 40, "Old-Age"
)</f>
        <v>Old-Age</v>
      </c>
      <c r="H101" s="3" t="s">
        <v>16</v>
      </c>
      <c r="I101" s="3">
        <v>1</v>
      </c>
      <c r="J101" s="3">
        <v>30</v>
      </c>
      <c r="K101" s="3">
        <v>30</v>
      </c>
      <c r="L101" s="3">
        <f t="shared" si="3"/>
        <v>0.74468362757404349</v>
      </c>
    </row>
    <row r="102" spans="1:12" x14ac:dyDescent="0.3">
      <c r="A102" s="3">
        <v>101</v>
      </c>
      <c r="B102" s="4">
        <v>44955</v>
      </c>
      <c r="C102" s="9" t="str">
        <f t="shared" si="2"/>
        <v>January</v>
      </c>
      <c r="D102" s="3" t="s">
        <v>114</v>
      </c>
      <c r="E102" s="3" t="s">
        <v>10</v>
      </c>
      <c r="F102" s="3">
        <v>32</v>
      </c>
      <c r="G102" s="8" t="str" cm="1">
        <f t="array" ref="G102">_xlfn.IFS(
    F102 &lt; 25, "Young",
    F102 &lt;= 40, "Mid-Age",
    F102 &gt; 40, "Old-Age"
)</f>
        <v>Mid-Age</v>
      </c>
      <c r="H102" s="3" t="s">
        <v>14</v>
      </c>
      <c r="I102" s="3">
        <v>2</v>
      </c>
      <c r="J102" s="3">
        <v>300</v>
      </c>
      <c r="K102" s="3">
        <v>600</v>
      </c>
      <c r="L102" s="3">
        <f t="shared" si="3"/>
        <v>0.74295538063552746</v>
      </c>
    </row>
    <row r="103" spans="1:12" x14ac:dyDescent="0.3">
      <c r="A103" s="3">
        <v>102</v>
      </c>
      <c r="B103" s="4">
        <v>45044</v>
      </c>
      <c r="C103" s="9" t="str">
        <f t="shared" si="2"/>
        <v>April</v>
      </c>
      <c r="D103" s="3" t="s">
        <v>115</v>
      </c>
      <c r="E103" s="3" t="s">
        <v>13</v>
      </c>
      <c r="F103" s="3">
        <v>47</v>
      </c>
      <c r="G103" s="8" t="str" cm="1">
        <f t="array" ref="G103">_xlfn.IFS(
    F103 &lt; 25, "Young",
    F103 &lt;= 40, "Mid-Age",
    F103 &gt; 40, "Old-Age"
)</f>
        <v>Old-Age</v>
      </c>
      <c r="H103" s="3" t="s">
        <v>11</v>
      </c>
      <c r="I103" s="3">
        <v>2</v>
      </c>
      <c r="J103" s="3">
        <v>25</v>
      </c>
      <c r="K103" s="3">
        <v>50</v>
      </c>
      <c r="L103" s="3">
        <f t="shared" si="3"/>
        <v>0.74489181593271547</v>
      </c>
    </row>
    <row r="104" spans="1:12" x14ac:dyDescent="0.3">
      <c r="A104" s="3">
        <v>103</v>
      </c>
      <c r="B104" s="4">
        <v>44943</v>
      </c>
      <c r="C104" s="9" t="str">
        <f t="shared" si="2"/>
        <v>January</v>
      </c>
      <c r="D104" s="3" t="s">
        <v>116</v>
      </c>
      <c r="E104" s="3" t="s">
        <v>13</v>
      </c>
      <c r="F104" s="3">
        <v>59</v>
      </c>
      <c r="G104" s="8" t="str" cm="1">
        <f t="array" ref="G104">_xlfn.IFS(
    F104 &lt; 25, "Young",
    F104 &lt;= 40, "Mid-Age",
    F104 &gt; 40, "Old-Age"
)</f>
        <v>Old-Age</v>
      </c>
      <c r="H104" s="3" t="s">
        <v>14</v>
      </c>
      <c r="I104" s="3">
        <v>1</v>
      </c>
      <c r="J104" s="3">
        <v>25</v>
      </c>
      <c r="K104" s="3">
        <v>25</v>
      </c>
      <c r="L104" s="3">
        <f t="shared" si="3"/>
        <v>0.74318033379253146</v>
      </c>
    </row>
    <row r="105" spans="1:12" x14ac:dyDescent="0.3">
      <c r="A105" s="3">
        <v>104</v>
      </c>
      <c r="B105" s="4">
        <v>45088</v>
      </c>
      <c r="C105" s="9" t="str">
        <f t="shared" si="2"/>
        <v>June</v>
      </c>
      <c r="D105" s="3" t="s">
        <v>117</v>
      </c>
      <c r="E105" s="3" t="s">
        <v>13</v>
      </c>
      <c r="F105" s="3">
        <v>34</v>
      </c>
      <c r="G105" s="8" t="str" cm="1">
        <f t="array" ref="G105">_xlfn.IFS(
    F105 &lt; 25, "Young",
    F105 &lt;= 40, "Mid-Age",
    F105 &gt; 40, "Old-Age"
)</f>
        <v>Mid-Age</v>
      </c>
      <c r="H105" s="3" t="s">
        <v>11</v>
      </c>
      <c r="I105" s="3">
        <v>2</v>
      </c>
      <c r="J105" s="3">
        <v>500</v>
      </c>
      <c r="K105" s="3">
        <v>1000</v>
      </c>
      <c r="L105" s="3">
        <f t="shared" si="3"/>
        <v>0.74146666789352089</v>
      </c>
    </row>
    <row r="106" spans="1:12" x14ac:dyDescent="0.3">
      <c r="A106" s="3">
        <v>105</v>
      </c>
      <c r="B106" s="4">
        <v>45132</v>
      </c>
      <c r="C106" s="9" t="str">
        <f t="shared" si="2"/>
        <v>July</v>
      </c>
      <c r="D106" s="3" t="s">
        <v>118</v>
      </c>
      <c r="E106" s="3" t="s">
        <v>13</v>
      </c>
      <c r="F106" s="3">
        <v>22</v>
      </c>
      <c r="G106" s="8" t="str" cm="1">
        <f t="array" ref="G106">_xlfn.IFS(
    F106 &lt; 25, "Young",
    F106 &lt;= 40, "Mid-Age",
    F106 &gt; 40, "Old-Age"
)</f>
        <v>Young</v>
      </c>
      <c r="H106" s="3" t="s">
        <v>16</v>
      </c>
      <c r="I106" s="3">
        <v>1</v>
      </c>
      <c r="J106" s="3">
        <v>500</v>
      </c>
      <c r="K106" s="3">
        <v>500</v>
      </c>
      <c r="L106" s="3">
        <f t="shared" si="3"/>
        <v>0.74486935742931704</v>
      </c>
    </row>
    <row r="107" spans="1:12" x14ac:dyDescent="0.3">
      <c r="A107" s="3">
        <v>106</v>
      </c>
      <c r="B107" s="4">
        <v>45064</v>
      </c>
      <c r="C107" s="9" t="str">
        <f t="shared" si="2"/>
        <v>May</v>
      </c>
      <c r="D107" s="3" t="s">
        <v>119</v>
      </c>
      <c r="E107" s="3" t="s">
        <v>13</v>
      </c>
      <c r="F107" s="3">
        <v>46</v>
      </c>
      <c r="G107" s="8" t="str" cm="1">
        <f t="array" ref="G107">_xlfn.IFS(
    F107 &lt; 25, "Young",
    F107 &lt;= 40, "Mid-Age",
    F107 &gt; 40, "Old-Age"
)</f>
        <v>Old-Age</v>
      </c>
      <c r="H107" s="3" t="s">
        <v>14</v>
      </c>
      <c r="I107" s="3">
        <v>1</v>
      </c>
      <c r="J107" s="3">
        <v>50</v>
      </c>
      <c r="K107" s="3">
        <v>50</v>
      </c>
      <c r="L107" s="3">
        <f t="shared" si="3"/>
        <v>0.74828281191724078</v>
      </c>
    </row>
    <row r="108" spans="1:12" x14ac:dyDescent="0.3">
      <c r="A108" s="3">
        <v>107</v>
      </c>
      <c r="B108" s="4">
        <v>44960</v>
      </c>
      <c r="C108" s="9" t="str">
        <f t="shared" si="2"/>
        <v>February</v>
      </c>
      <c r="D108" s="3" t="s">
        <v>120</v>
      </c>
      <c r="E108" s="3" t="s">
        <v>13</v>
      </c>
      <c r="F108" s="3">
        <v>21</v>
      </c>
      <c r="G108" s="8" t="str" cm="1">
        <f t="array" ref="G108">_xlfn.IFS(
    F108 &lt; 25, "Young",
    F108 &lt;= 40, "Mid-Age",
    F108 &gt; 40, "Old-Age"
)</f>
        <v>Young</v>
      </c>
      <c r="H108" s="3" t="s">
        <v>14</v>
      </c>
      <c r="I108" s="3">
        <v>4</v>
      </c>
      <c r="J108" s="3">
        <v>300</v>
      </c>
      <c r="K108" s="3">
        <v>1200</v>
      </c>
      <c r="L108" s="3">
        <f t="shared" si="3"/>
        <v>0.74651361724452259</v>
      </c>
    </row>
    <row r="109" spans="1:12" x14ac:dyDescent="0.3">
      <c r="A109" s="3">
        <v>108</v>
      </c>
      <c r="B109" s="4">
        <v>45035</v>
      </c>
      <c r="C109" s="9" t="str">
        <f t="shared" si="2"/>
        <v>April</v>
      </c>
      <c r="D109" s="3" t="s">
        <v>121</v>
      </c>
      <c r="E109" s="3" t="s">
        <v>13</v>
      </c>
      <c r="F109" s="3">
        <v>27</v>
      </c>
      <c r="G109" s="8" t="str" cm="1">
        <f t="array" ref="G109">_xlfn.IFS(
    F109 &lt; 25, "Young",
    F109 &lt;= 40, "Mid-Age",
    F109 &gt; 40, "Old-Age"
)</f>
        <v>Mid-Age</v>
      </c>
      <c r="H109" s="3" t="s">
        <v>11</v>
      </c>
      <c r="I109" s="3">
        <v>3</v>
      </c>
      <c r="J109" s="3">
        <v>25</v>
      </c>
      <c r="K109" s="3">
        <v>75</v>
      </c>
      <c r="L109" s="3">
        <f t="shared" si="3"/>
        <v>0.74847294753556137</v>
      </c>
    </row>
    <row r="110" spans="1:12" x14ac:dyDescent="0.3">
      <c r="A110" s="3">
        <v>109</v>
      </c>
      <c r="B110" s="4">
        <v>45217</v>
      </c>
      <c r="C110" s="9" t="str">
        <f t="shared" si="2"/>
        <v>October</v>
      </c>
      <c r="D110" s="3" t="s">
        <v>122</v>
      </c>
      <c r="E110" s="3" t="s">
        <v>13</v>
      </c>
      <c r="F110" s="3">
        <v>34</v>
      </c>
      <c r="G110" s="8" t="str" cm="1">
        <f t="array" ref="G110">_xlfn.IFS(
    F110 &lt; 25, "Young",
    F110 &lt;= 40, "Mid-Age",
    F110 &gt; 40, "Old-Age"
)</f>
        <v>Mid-Age</v>
      </c>
      <c r="H110" s="3" t="s">
        <v>16</v>
      </c>
      <c r="I110" s="3">
        <v>4</v>
      </c>
      <c r="J110" s="3">
        <v>500</v>
      </c>
      <c r="K110" s="3">
        <v>2000</v>
      </c>
      <c r="L110" s="3">
        <f t="shared" si="3"/>
        <v>0.74675098392766581</v>
      </c>
    </row>
    <row r="111" spans="1:12" x14ac:dyDescent="0.3">
      <c r="A111" s="3">
        <v>110</v>
      </c>
      <c r="B111" s="4">
        <v>45088</v>
      </c>
      <c r="C111" s="9" t="str">
        <f t="shared" si="2"/>
        <v>June</v>
      </c>
      <c r="D111" s="3" t="s">
        <v>123</v>
      </c>
      <c r="E111" s="3" t="s">
        <v>10</v>
      </c>
      <c r="F111" s="3">
        <v>27</v>
      </c>
      <c r="G111" s="8" t="str" cm="1">
        <f t="array" ref="G111">_xlfn.IFS(
    F111 &lt; 25, "Young",
    F111 &lt;= 40, "Mid-Age",
    F111 &gt; 40, "Old-Age"
)</f>
        <v>Mid-Age</v>
      </c>
      <c r="H111" s="3" t="s">
        <v>14</v>
      </c>
      <c r="I111" s="3">
        <v>3</v>
      </c>
      <c r="J111" s="3">
        <v>300</v>
      </c>
      <c r="K111" s="3">
        <v>900</v>
      </c>
      <c r="L111" s="3">
        <f t="shared" si="3"/>
        <v>0.75018509385630905</v>
      </c>
    </row>
    <row r="112" spans="1:12" x14ac:dyDescent="0.3">
      <c r="A112" s="3">
        <v>111</v>
      </c>
      <c r="B112" s="4">
        <v>45035</v>
      </c>
      <c r="C112" s="9" t="str">
        <f t="shared" si="2"/>
        <v>April</v>
      </c>
      <c r="D112" s="3" t="s">
        <v>124</v>
      </c>
      <c r="E112" s="3" t="s">
        <v>13</v>
      </c>
      <c r="F112" s="3">
        <v>34</v>
      </c>
      <c r="G112" s="8" t="str" cm="1">
        <f t="array" ref="G112">_xlfn.IFS(
    F112 &lt; 25, "Young",
    F112 &lt;= 40, "Mid-Age",
    F112 &gt; 40, "Old-Age"
)</f>
        <v>Mid-Age</v>
      </c>
      <c r="H112" s="3" t="s">
        <v>16</v>
      </c>
      <c r="I112" s="3">
        <v>3</v>
      </c>
      <c r="J112" s="3">
        <v>500</v>
      </c>
      <c r="K112" s="3">
        <v>1500</v>
      </c>
      <c r="L112" s="3">
        <f t="shared" si="3"/>
        <v>0.75215896015150707</v>
      </c>
    </row>
    <row r="113" spans="1:12" x14ac:dyDescent="0.3">
      <c r="A113" s="3">
        <v>112</v>
      </c>
      <c r="B113" s="4">
        <v>45262</v>
      </c>
      <c r="C113" s="9" t="str">
        <f t="shared" si="2"/>
        <v>December</v>
      </c>
      <c r="D113" s="3" t="s">
        <v>125</v>
      </c>
      <c r="E113" s="3" t="s">
        <v>10</v>
      </c>
      <c r="F113" s="3">
        <v>37</v>
      </c>
      <c r="G113" s="8" t="str" cm="1">
        <f t="array" ref="G113">_xlfn.IFS(
    F113 &lt; 25, "Young",
    F113 &lt;= 40, "Mid-Age",
    F113 &gt; 40, "Old-Age"
)</f>
        <v>Mid-Age</v>
      </c>
      <c r="H113" s="3" t="s">
        <v>14</v>
      </c>
      <c r="I113" s="3">
        <v>3</v>
      </c>
      <c r="J113" s="3">
        <v>500</v>
      </c>
      <c r="K113" s="3">
        <v>1500</v>
      </c>
      <c r="L113" s="3">
        <f t="shared" si="3"/>
        <v>0.75561610946528657</v>
      </c>
    </row>
    <row r="114" spans="1:12" x14ac:dyDescent="0.3">
      <c r="A114" s="3">
        <v>113</v>
      </c>
      <c r="B114" s="4">
        <v>45182</v>
      </c>
      <c r="C114" s="9" t="str">
        <f t="shared" si="2"/>
        <v>September</v>
      </c>
      <c r="D114" s="3" t="s">
        <v>126</v>
      </c>
      <c r="E114" s="3" t="s">
        <v>13</v>
      </c>
      <c r="F114" s="3">
        <v>41</v>
      </c>
      <c r="G114" s="8" t="str" cm="1">
        <f t="array" ref="G114">_xlfn.IFS(
    F114 &lt; 25, "Young",
    F114 &lt;= 40, "Mid-Age",
    F114 &gt; 40, "Old-Age"
)</f>
        <v>Old-Age</v>
      </c>
      <c r="H114" s="3" t="s">
        <v>16</v>
      </c>
      <c r="I114" s="3">
        <v>2</v>
      </c>
      <c r="J114" s="3">
        <v>25</v>
      </c>
      <c r="K114" s="3">
        <v>50</v>
      </c>
      <c r="L114" s="3">
        <f t="shared" si="3"/>
        <v>0.75908435203118552</v>
      </c>
    </row>
    <row r="115" spans="1:12" x14ac:dyDescent="0.3">
      <c r="A115" s="3">
        <v>114</v>
      </c>
      <c r="B115" s="4">
        <v>45129</v>
      </c>
      <c r="C115" s="9" t="str">
        <f t="shared" si="2"/>
        <v>July</v>
      </c>
      <c r="D115" s="3" t="s">
        <v>127</v>
      </c>
      <c r="E115" s="3" t="s">
        <v>13</v>
      </c>
      <c r="F115" s="3">
        <v>22</v>
      </c>
      <c r="G115" s="8" t="str" cm="1">
        <f t="array" ref="G115">_xlfn.IFS(
    F115 &lt; 25, "Young",
    F115 &lt;= 40, "Mid-Age",
    F115 &gt; 40, "Old-Age"
)</f>
        <v>Young</v>
      </c>
      <c r="H115" s="3" t="s">
        <v>11</v>
      </c>
      <c r="I115" s="3">
        <v>4</v>
      </c>
      <c r="J115" s="3">
        <v>25</v>
      </c>
      <c r="K115" s="3">
        <v>100</v>
      </c>
      <c r="L115" s="3">
        <f t="shared" si="3"/>
        <v>0.7573554493931216</v>
      </c>
    </row>
    <row r="116" spans="1:12" x14ac:dyDescent="0.3">
      <c r="A116" s="3">
        <v>115</v>
      </c>
      <c r="B116" s="4">
        <v>45256</v>
      </c>
      <c r="C116" s="9" t="str">
        <f t="shared" si="2"/>
        <v>November</v>
      </c>
      <c r="D116" s="3" t="s">
        <v>128</v>
      </c>
      <c r="E116" s="3" t="s">
        <v>10</v>
      </c>
      <c r="F116" s="3">
        <v>51</v>
      </c>
      <c r="G116" s="8" t="str" cm="1">
        <f t="array" ref="G116">_xlfn.IFS(
    F116 &lt; 25, "Young",
    F116 &lt;= 40, "Mid-Age",
    F116 &gt; 40, "Old-Age"
)</f>
        <v>Old-Age</v>
      </c>
      <c r="H116" s="3" t="s">
        <v>14</v>
      </c>
      <c r="I116" s="3">
        <v>3</v>
      </c>
      <c r="J116" s="3">
        <v>500</v>
      </c>
      <c r="K116" s="3">
        <v>1500</v>
      </c>
      <c r="L116" s="3">
        <f t="shared" si="3"/>
        <v>0.75562433171053944</v>
      </c>
    </row>
    <row r="117" spans="1:12" x14ac:dyDescent="0.3">
      <c r="A117" s="3">
        <v>116</v>
      </c>
      <c r="B117" s="4">
        <v>45161</v>
      </c>
      <c r="C117" s="9" t="str">
        <f t="shared" si="2"/>
        <v>August</v>
      </c>
      <c r="D117" s="3" t="s">
        <v>129</v>
      </c>
      <c r="E117" s="3" t="s">
        <v>13</v>
      </c>
      <c r="F117" s="3">
        <v>23</v>
      </c>
      <c r="G117" s="8" t="str" cm="1">
        <f t="array" ref="G117">_xlfn.IFS(
    F117 &lt; 25, "Young",
    F117 &lt;= 40, "Mid-Age",
    F117 &gt; 40, "Old-Age"
)</f>
        <v>Young</v>
      </c>
      <c r="H117" s="3" t="s">
        <v>14</v>
      </c>
      <c r="I117" s="3">
        <v>1</v>
      </c>
      <c r="J117" s="3">
        <v>30</v>
      </c>
      <c r="K117" s="3">
        <v>30</v>
      </c>
      <c r="L117" s="3">
        <f t="shared" si="3"/>
        <v>0.75910168768900821</v>
      </c>
    </row>
    <row r="118" spans="1:12" x14ac:dyDescent="0.3">
      <c r="A118" s="3">
        <v>117</v>
      </c>
      <c r="B118" s="4">
        <v>45000</v>
      </c>
      <c r="C118" s="9" t="str">
        <f t="shared" si="2"/>
        <v>March</v>
      </c>
      <c r="D118" s="3" t="s">
        <v>130</v>
      </c>
      <c r="E118" s="3" t="s">
        <v>10</v>
      </c>
      <c r="F118" s="3">
        <v>19</v>
      </c>
      <c r="G118" s="8" t="str" cm="1">
        <f t="array" ref="G118">_xlfn.IFS(
    F118 &lt; 25, "Young",
    F118 &lt;= 40, "Mid-Age",
    F118 &gt; 40, "Old-Age"
)</f>
        <v>Young</v>
      </c>
      <c r="H118" s="3" t="s">
        <v>16</v>
      </c>
      <c r="I118" s="3">
        <v>2</v>
      </c>
      <c r="J118" s="3">
        <v>500</v>
      </c>
      <c r="K118" s="3">
        <v>1000</v>
      </c>
      <c r="L118" s="3">
        <f t="shared" si="3"/>
        <v>0.7573460529763969</v>
      </c>
    </row>
    <row r="119" spans="1:12" x14ac:dyDescent="0.3">
      <c r="A119" s="3">
        <v>118</v>
      </c>
      <c r="B119" s="4">
        <v>45062</v>
      </c>
      <c r="C119" s="9" t="str">
        <f t="shared" si="2"/>
        <v>May</v>
      </c>
      <c r="D119" s="3" t="s">
        <v>131</v>
      </c>
      <c r="E119" s="3" t="s">
        <v>13</v>
      </c>
      <c r="F119" s="3">
        <v>30</v>
      </c>
      <c r="G119" s="8" t="str" cm="1">
        <f t="array" ref="G119">_xlfn.IFS(
    F119 &lt; 25, "Young",
    F119 &lt;= 40, "Mid-Age",
    F119 &gt; 40, "Old-Age"
)</f>
        <v>Mid-Age</v>
      </c>
      <c r="H119" s="3" t="s">
        <v>16</v>
      </c>
      <c r="I119" s="3">
        <v>4</v>
      </c>
      <c r="J119" s="3">
        <v>500</v>
      </c>
      <c r="K119" s="3">
        <v>2000</v>
      </c>
      <c r="L119" s="3">
        <f t="shared" si="3"/>
        <v>0.76083348529856842</v>
      </c>
    </row>
    <row r="120" spans="1:12" x14ac:dyDescent="0.3">
      <c r="A120" s="3">
        <v>119</v>
      </c>
      <c r="B120" s="4">
        <v>44998</v>
      </c>
      <c r="C120" s="9" t="str">
        <f t="shared" si="2"/>
        <v>March</v>
      </c>
      <c r="D120" s="3" t="s">
        <v>132</v>
      </c>
      <c r="E120" s="3" t="s">
        <v>13</v>
      </c>
      <c r="F120" s="3">
        <v>60</v>
      </c>
      <c r="G120" s="8" t="str" cm="1">
        <f t="array" ref="G120">_xlfn.IFS(
    F120 &lt; 25, "Young",
    F120 &lt;= 40, "Mid-Age",
    F120 &gt; 40, "Old-Age"
)</f>
        <v>Old-Age</v>
      </c>
      <c r="H120" s="3" t="s">
        <v>14</v>
      </c>
      <c r="I120" s="3">
        <v>3</v>
      </c>
      <c r="J120" s="3">
        <v>50</v>
      </c>
      <c r="K120" s="3">
        <v>150</v>
      </c>
      <c r="L120" s="3">
        <f t="shared" si="3"/>
        <v>0.76433211868086459</v>
      </c>
    </row>
    <row r="121" spans="1:12" x14ac:dyDescent="0.3">
      <c r="A121" s="3">
        <v>120</v>
      </c>
      <c r="B121" s="4">
        <v>45053</v>
      </c>
      <c r="C121" s="9" t="str">
        <f t="shared" si="2"/>
        <v>May</v>
      </c>
      <c r="D121" s="3" t="s">
        <v>133</v>
      </c>
      <c r="E121" s="3" t="s">
        <v>10</v>
      </c>
      <c r="F121" s="3">
        <v>60</v>
      </c>
      <c r="G121" s="8" t="str" cm="1">
        <f t="array" ref="G121">_xlfn.IFS(
    F121 &lt; 25, "Young",
    F121 &lt;= 40, "Mid-Age",
    F121 &gt; 40, "Old-Age"
)</f>
        <v>Old-Age</v>
      </c>
      <c r="H121" s="3" t="s">
        <v>11</v>
      </c>
      <c r="I121" s="3">
        <v>1</v>
      </c>
      <c r="J121" s="3">
        <v>50</v>
      </c>
      <c r="K121" s="3">
        <v>50</v>
      </c>
      <c r="L121" s="3">
        <f t="shared" si="3"/>
        <v>0.76254082130011502</v>
      </c>
    </row>
    <row r="122" spans="1:12" x14ac:dyDescent="0.3">
      <c r="A122" s="3">
        <v>121</v>
      </c>
      <c r="B122" s="4">
        <v>45214</v>
      </c>
      <c r="C122" s="9" t="str">
        <f t="shared" si="2"/>
        <v>October</v>
      </c>
      <c r="D122" s="3" t="s">
        <v>134</v>
      </c>
      <c r="E122" s="3" t="s">
        <v>13</v>
      </c>
      <c r="F122" s="3">
        <v>28</v>
      </c>
      <c r="G122" s="8" t="str" cm="1">
        <f t="array" ref="G122">_xlfn.IFS(
    F122 &lt; 25, "Young",
    F122 &lt;= 40, "Mid-Age",
    F122 &gt; 40, "Old-Age"
)</f>
        <v>Mid-Age</v>
      </c>
      <c r="H122" s="3" t="s">
        <v>16</v>
      </c>
      <c r="I122" s="3">
        <v>4</v>
      </c>
      <c r="J122" s="3">
        <v>50</v>
      </c>
      <c r="K122" s="3">
        <v>200</v>
      </c>
      <c r="L122" s="3">
        <f t="shared" si="3"/>
        <v>0.76074705232164119</v>
      </c>
    </row>
    <row r="123" spans="1:12" x14ac:dyDescent="0.3">
      <c r="A123" s="3">
        <v>122</v>
      </c>
      <c r="B123" s="4">
        <v>45202</v>
      </c>
      <c r="C123" s="9" t="str">
        <f t="shared" si="2"/>
        <v>October</v>
      </c>
      <c r="D123" s="3" t="s">
        <v>135</v>
      </c>
      <c r="E123" s="3" t="s">
        <v>10</v>
      </c>
      <c r="F123" s="3">
        <v>64</v>
      </c>
      <c r="G123" s="8" t="str" cm="1">
        <f t="array" ref="G123">_xlfn.IFS(
    F123 &lt; 25, "Young",
    F123 &lt;= 40, "Mid-Age",
    F123 &gt; 40, "Old-Age"
)</f>
        <v>Old-Age</v>
      </c>
      <c r="H123" s="3" t="s">
        <v>16</v>
      </c>
      <c r="I123" s="3">
        <v>4</v>
      </c>
      <c r="J123" s="3">
        <v>30</v>
      </c>
      <c r="K123" s="3">
        <v>120</v>
      </c>
      <c r="L123" s="3">
        <f t="shared" si="3"/>
        <v>0.75895080307525153</v>
      </c>
    </row>
    <row r="124" spans="1:12" x14ac:dyDescent="0.3">
      <c r="A124" s="3">
        <v>123</v>
      </c>
      <c r="B124" s="4">
        <v>45061</v>
      </c>
      <c r="C124" s="9" t="str">
        <f t="shared" si="2"/>
        <v>May</v>
      </c>
      <c r="D124" s="3" t="s">
        <v>136</v>
      </c>
      <c r="E124" s="3" t="s">
        <v>13</v>
      </c>
      <c r="F124" s="3">
        <v>40</v>
      </c>
      <c r="G124" s="8" t="str" cm="1">
        <f t="array" ref="G124">_xlfn.IFS(
    F124 &lt; 25, "Young",
    F124 &lt;= 40, "Mid-Age",
    F124 &gt; 40, "Old-Age"
)</f>
        <v>Mid-Age</v>
      </c>
      <c r="H124" s="3" t="s">
        <v>16</v>
      </c>
      <c r="I124" s="3">
        <v>2</v>
      </c>
      <c r="J124" s="3">
        <v>30</v>
      </c>
      <c r="K124" s="3">
        <v>60</v>
      </c>
      <c r="L124" s="3">
        <f t="shared" si="3"/>
        <v>0.7571831760054647</v>
      </c>
    </row>
    <row r="125" spans="1:12" x14ac:dyDescent="0.3">
      <c r="A125" s="3">
        <v>124</v>
      </c>
      <c r="B125" s="4">
        <v>45226</v>
      </c>
      <c r="C125" s="9" t="str">
        <f t="shared" si="2"/>
        <v>October</v>
      </c>
      <c r="D125" s="3" t="s">
        <v>137</v>
      </c>
      <c r="E125" s="3" t="s">
        <v>10</v>
      </c>
      <c r="F125" s="3">
        <v>33</v>
      </c>
      <c r="G125" s="8" t="str" cm="1">
        <f t="array" ref="G125">_xlfn.IFS(
    F125 &lt; 25, "Young",
    F125 &lt;= 40, "Mid-Age",
    F125 &gt; 40, "Old-Age"
)</f>
        <v>Mid-Age</v>
      </c>
      <c r="H125" s="3" t="s">
        <v>14</v>
      </c>
      <c r="I125" s="3">
        <v>4</v>
      </c>
      <c r="J125" s="3">
        <v>500</v>
      </c>
      <c r="K125" s="3">
        <v>2000</v>
      </c>
      <c r="L125" s="3">
        <f t="shared" si="3"/>
        <v>0.7554131879491397</v>
      </c>
    </row>
    <row r="126" spans="1:12" x14ac:dyDescent="0.3">
      <c r="A126" s="3">
        <v>125</v>
      </c>
      <c r="B126" s="4">
        <v>45146</v>
      </c>
      <c r="C126" s="9" t="str">
        <f t="shared" si="2"/>
        <v>August</v>
      </c>
      <c r="D126" s="3" t="s">
        <v>138</v>
      </c>
      <c r="E126" s="3" t="s">
        <v>10</v>
      </c>
      <c r="F126" s="3">
        <v>48</v>
      </c>
      <c r="G126" s="8" t="str" cm="1">
        <f t="array" ref="G126">_xlfn.IFS(
    F126 &lt; 25, "Young",
    F126 &lt;= 40, "Mid-Age",
    F126 &gt; 40, "Old-Age"
)</f>
        <v>Old-Age</v>
      </c>
      <c r="H126" s="3" t="s">
        <v>14</v>
      </c>
      <c r="I126" s="3">
        <v>2</v>
      </c>
      <c r="J126" s="3">
        <v>50</v>
      </c>
      <c r="K126" s="3">
        <v>100</v>
      </c>
      <c r="L126" s="3">
        <f t="shared" si="3"/>
        <v>0.75891731425942499</v>
      </c>
    </row>
    <row r="127" spans="1:12" x14ac:dyDescent="0.3">
      <c r="A127" s="3">
        <v>126</v>
      </c>
      <c r="B127" s="4">
        <v>45225</v>
      </c>
      <c r="C127" s="9" t="str">
        <f t="shared" si="2"/>
        <v>October</v>
      </c>
      <c r="D127" s="3" t="s">
        <v>139</v>
      </c>
      <c r="E127" s="3" t="s">
        <v>13</v>
      </c>
      <c r="F127" s="3">
        <v>28</v>
      </c>
      <c r="G127" s="8" t="str" cm="1">
        <f t="array" ref="G127">_xlfn.IFS(
    F127 &lt; 25, "Young",
    F127 &lt;= 40, "Mid-Age",
    F127 &gt; 40, "Old-Age"
)</f>
        <v>Mid-Age</v>
      </c>
      <c r="H127" s="3" t="s">
        <v>14</v>
      </c>
      <c r="I127" s="3">
        <v>3</v>
      </c>
      <c r="J127" s="3">
        <v>30</v>
      </c>
      <c r="K127" s="3">
        <v>90</v>
      </c>
      <c r="L127" s="3">
        <f t="shared" si="3"/>
        <v>0.75711236938114279</v>
      </c>
    </row>
    <row r="128" spans="1:12" x14ac:dyDescent="0.3">
      <c r="A128" s="3">
        <v>127</v>
      </c>
      <c r="B128" s="4">
        <v>45131</v>
      </c>
      <c r="C128" s="9" t="str">
        <f t="shared" si="2"/>
        <v>July</v>
      </c>
      <c r="D128" s="3" t="s">
        <v>140</v>
      </c>
      <c r="E128" s="3" t="s">
        <v>13</v>
      </c>
      <c r="F128" s="3">
        <v>33</v>
      </c>
      <c r="G128" s="8" t="str" cm="1">
        <f t="array" ref="G128">_xlfn.IFS(
    F128 &lt; 25, "Young",
    F128 &lt;= 40, "Mid-Age",
    F128 &gt; 40, "Old-Age"
)</f>
        <v>Mid-Age</v>
      </c>
      <c r="H128" s="3" t="s">
        <v>14</v>
      </c>
      <c r="I128" s="3">
        <v>2</v>
      </c>
      <c r="J128" s="3">
        <v>25</v>
      </c>
      <c r="K128" s="3">
        <v>50</v>
      </c>
      <c r="L128" s="3">
        <f t="shared" si="3"/>
        <v>0.75533638066312081</v>
      </c>
    </row>
    <row r="129" spans="1:12" x14ac:dyDescent="0.3">
      <c r="A129" s="3">
        <v>128</v>
      </c>
      <c r="B129" s="4">
        <v>45112</v>
      </c>
      <c r="C129" s="9" t="str">
        <f t="shared" si="2"/>
        <v>July</v>
      </c>
      <c r="D129" s="3" t="s">
        <v>141</v>
      </c>
      <c r="E129" s="3" t="s">
        <v>10</v>
      </c>
      <c r="F129" s="3">
        <v>25</v>
      </c>
      <c r="G129" s="8" t="str" cm="1">
        <f t="array" ref="G129">_xlfn.IFS(
    F129 &lt; 25, "Young",
    F129 &lt;= 40, "Mid-Age",
    F129 &gt; 40, "Old-Age"
)</f>
        <v>Mid-Age</v>
      </c>
      <c r="H129" s="3" t="s">
        <v>11</v>
      </c>
      <c r="I129" s="3">
        <v>1</v>
      </c>
      <c r="J129" s="3">
        <v>500</v>
      </c>
      <c r="K129" s="3">
        <v>500</v>
      </c>
      <c r="L129" s="3">
        <f t="shared" si="3"/>
        <v>0.7535796846099182</v>
      </c>
    </row>
    <row r="130" spans="1:12" x14ac:dyDescent="0.3">
      <c r="A130" s="3">
        <v>129</v>
      </c>
      <c r="B130" s="4">
        <v>45039</v>
      </c>
      <c r="C130" s="9" t="str">
        <f t="shared" ref="C130:C193" si="4">TEXT(B130,"mmmm")</f>
        <v>April</v>
      </c>
      <c r="D130" s="3" t="s">
        <v>142</v>
      </c>
      <c r="E130" s="3" t="s">
        <v>13</v>
      </c>
      <c r="F130" s="3">
        <v>21</v>
      </c>
      <c r="G130" s="8" t="str" cm="1">
        <f t="array" ref="G130">_xlfn.IFS(
    F130 &lt; 25, "Young",
    F130 &lt;= 40, "Mid-Age",
    F130 &gt; 40, "Old-Age"
)</f>
        <v>Young</v>
      </c>
      <c r="H130" s="3" t="s">
        <v>11</v>
      </c>
      <c r="I130" s="3">
        <v>2</v>
      </c>
      <c r="J130" s="3">
        <v>300</v>
      </c>
      <c r="K130" s="3">
        <v>600</v>
      </c>
      <c r="L130" s="3">
        <f t="shared" ref="L130:L193" si="5">SKEW(J130:J1129)</f>
        <v>0.75709170993176811</v>
      </c>
    </row>
    <row r="131" spans="1:12" x14ac:dyDescent="0.3">
      <c r="A131" s="3">
        <v>130</v>
      </c>
      <c r="B131" s="4">
        <v>44997</v>
      </c>
      <c r="C131" s="9" t="str">
        <f t="shared" si="4"/>
        <v>March</v>
      </c>
      <c r="D131" s="3" t="s">
        <v>143</v>
      </c>
      <c r="E131" s="3" t="s">
        <v>13</v>
      </c>
      <c r="F131" s="3">
        <v>57</v>
      </c>
      <c r="G131" s="8" t="str" cm="1">
        <f t="array" ref="G131">_xlfn.IFS(
    F131 &lt; 25, "Young",
    F131 &lt;= 40, "Mid-Age",
    F131 &gt; 40, "Old-Age"
)</f>
        <v>Old-Age</v>
      </c>
      <c r="H131" s="3" t="s">
        <v>14</v>
      </c>
      <c r="I131" s="3">
        <v>1</v>
      </c>
      <c r="J131" s="3">
        <v>500</v>
      </c>
      <c r="K131" s="3">
        <v>500</v>
      </c>
      <c r="L131" s="3">
        <f t="shared" si="5"/>
        <v>0.75913873837702961</v>
      </c>
    </row>
    <row r="132" spans="1:12" x14ac:dyDescent="0.3">
      <c r="A132" s="3">
        <v>131</v>
      </c>
      <c r="B132" s="4">
        <v>45187</v>
      </c>
      <c r="C132" s="9" t="str">
        <f t="shared" si="4"/>
        <v>September</v>
      </c>
      <c r="D132" s="3" t="s">
        <v>144</v>
      </c>
      <c r="E132" s="3" t="s">
        <v>13</v>
      </c>
      <c r="F132" s="3">
        <v>21</v>
      </c>
      <c r="G132" s="8" t="str" cm="1">
        <f t="array" ref="G132">_xlfn.IFS(
    F132 &lt; 25, "Young",
    F132 &lt;= 40, "Mid-Age",
    F132 &gt; 40, "Old-Age"
)</f>
        <v>Young</v>
      </c>
      <c r="H132" s="3" t="s">
        <v>11</v>
      </c>
      <c r="I132" s="3">
        <v>2</v>
      </c>
      <c r="J132" s="3">
        <v>300</v>
      </c>
      <c r="K132" s="3">
        <v>600</v>
      </c>
      <c r="L132" s="3">
        <f t="shared" si="5"/>
        <v>0.76267489928384824</v>
      </c>
    </row>
    <row r="133" spans="1:12" x14ac:dyDescent="0.3">
      <c r="A133" s="3">
        <v>132</v>
      </c>
      <c r="B133" s="4">
        <v>45179</v>
      </c>
      <c r="C133" s="9" t="str">
        <f t="shared" si="4"/>
        <v>September</v>
      </c>
      <c r="D133" s="3" t="s">
        <v>145</v>
      </c>
      <c r="E133" s="3" t="s">
        <v>10</v>
      </c>
      <c r="F133" s="3">
        <v>42</v>
      </c>
      <c r="G133" s="8" t="str" cm="1">
        <f t="array" ref="G133">_xlfn.IFS(
    F133 &lt; 25, "Young",
    F133 &lt;= 40, "Mid-Age",
    F133 &gt; 40, "Old-Age"
)</f>
        <v>Old-Age</v>
      </c>
      <c r="H133" s="3" t="s">
        <v>16</v>
      </c>
      <c r="I133" s="3">
        <v>4</v>
      </c>
      <c r="J133" s="3">
        <v>50</v>
      </c>
      <c r="K133" s="3">
        <v>200</v>
      </c>
      <c r="L133" s="3">
        <f t="shared" si="5"/>
        <v>0.76473950502897314</v>
      </c>
    </row>
    <row r="134" spans="1:12" x14ac:dyDescent="0.3">
      <c r="A134" s="3">
        <v>133</v>
      </c>
      <c r="B134" s="4">
        <v>44973</v>
      </c>
      <c r="C134" s="9" t="str">
        <f t="shared" si="4"/>
        <v>February</v>
      </c>
      <c r="D134" s="3" t="s">
        <v>146</v>
      </c>
      <c r="E134" s="3" t="s">
        <v>10</v>
      </c>
      <c r="F134" s="3">
        <v>20</v>
      </c>
      <c r="G134" s="8" t="str" cm="1">
        <f t="array" ref="G134">_xlfn.IFS(
    F134 &lt; 25, "Young",
    F134 &lt;= 40, "Mid-Age",
    F134 &gt; 40, "Old-Age"
)</f>
        <v>Young</v>
      </c>
      <c r="H134" s="3" t="s">
        <v>16</v>
      </c>
      <c r="I134" s="3">
        <v>3</v>
      </c>
      <c r="J134" s="3">
        <v>300</v>
      </c>
      <c r="K134" s="3">
        <v>900</v>
      </c>
      <c r="L134" s="3">
        <f t="shared" si="5"/>
        <v>0.76292148309228314</v>
      </c>
    </row>
    <row r="135" spans="1:12" x14ac:dyDescent="0.3">
      <c r="A135" s="3">
        <v>134</v>
      </c>
      <c r="B135" s="4">
        <v>44951</v>
      </c>
      <c r="C135" s="9" t="str">
        <f t="shared" si="4"/>
        <v>January</v>
      </c>
      <c r="D135" s="3" t="s">
        <v>147</v>
      </c>
      <c r="E135" s="3" t="s">
        <v>10</v>
      </c>
      <c r="F135" s="3">
        <v>49</v>
      </c>
      <c r="G135" s="8" t="str" cm="1">
        <f t="array" ref="G135">_xlfn.IFS(
    F135 &lt; 25, "Young",
    F135 &lt;= 40, "Mid-Age",
    F135 &gt; 40, "Old-Age"
)</f>
        <v>Old-Age</v>
      </c>
      <c r="H135" s="3" t="s">
        <v>16</v>
      </c>
      <c r="I135" s="3">
        <v>1</v>
      </c>
      <c r="J135" s="3">
        <v>50</v>
      </c>
      <c r="K135" s="3">
        <v>50</v>
      </c>
      <c r="L135" s="3">
        <f t="shared" si="5"/>
        <v>0.76498925215589542</v>
      </c>
    </row>
    <row r="136" spans="1:12" x14ac:dyDescent="0.3">
      <c r="A136" s="3">
        <v>135</v>
      </c>
      <c r="B136" s="4">
        <v>44983</v>
      </c>
      <c r="C136" s="9" t="str">
        <f t="shared" si="4"/>
        <v>February</v>
      </c>
      <c r="D136" s="3" t="s">
        <v>148</v>
      </c>
      <c r="E136" s="3" t="s">
        <v>10</v>
      </c>
      <c r="F136" s="3">
        <v>20</v>
      </c>
      <c r="G136" s="8" t="str" cm="1">
        <f t="array" ref="G136">_xlfn.IFS(
    F136 &lt; 25, "Young",
    F136 &lt;= 40, "Mid-Age",
    F136 &gt; 40, "Old-Age"
)</f>
        <v>Young</v>
      </c>
      <c r="H136" s="3" t="s">
        <v>14</v>
      </c>
      <c r="I136" s="3">
        <v>2</v>
      </c>
      <c r="J136" s="3">
        <v>25</v>
      </c>
      <c r="K136" s="3">
        <v>50</v>
      </c>
      <c r="L136" s="3">
        <f t="shared" si="5"/>
        <v>0.76316712613772963</v>
      </c>
    </row>
    <row r="137" spans="1:12" x14ac:dyDescent="0.3">
      <c r="A137" s="3">
        <v>136</v>
      </c>
      <c r="B137" s="4">
        <v>45005</v>
      </c>
      <c r="C137" s="9" t="str">
        <f t="shared" si="4"/>
        <v>March</v>
      </c>
      <c r="D137" s="3" t="s">
        <v>149</v>
      </c>
      <c r="E137" s="3" t="s">
        <v>10</v>
      </c>
      <c r="F137" s="3">
        <v>44</v>
      </c>
      <c r="G137" s="8" t="str" cm="1">
        <f t="array" ref="G137">_xlfn.IFS(
    F137 &lt; 25, "Young",
    F137 &lt;= 40, "Mid-Age",
    F137 &gt; 40, "Old-Age"
)</f>
        <v>Old-Age</v>
      </c>
      <c r="H137" s="3" t="s">
        <v>16</v>
      </c>
      <c r="I137" s="3">
        <v>2</v>
      </c>
      <c r="J137" s="3">
        <v>300</v>
      </c>
      <c r="K137" s="3">
        <v>600</v>
      </c>
      <c r="L137" s="3">
        <f t="shared" si="5"/>
        <v>0.7613954176051333</v>
      </c>
    </row>
    <row r="138" spans="1:12" x14ac:dyDescent="0.3">
      <c r="A138" s="3">
        <v>137</v>
      </c>
      <c r="B138" s="4">
        <v>45248</v>
      </c>
      <c r="C138" s="9" t="str">
        <f t="shared" si="4"/>
        <v>November</v>
      </c>
      <c r="D138" s="3" t="s">
        <v>150</v>
      </c>
      <c r="E138" s="3" t="s">
        <v>10</v>
      </c>
      <c r="F138" s="3">
        <v>46</v>
      </c>
      <c r="G138" s="8" t="str" cm="1">
        <f t="array" ref="G138">_xlfn.IFS(
    F138 &lt; 25, "Young",
    F138 &lt;= 40, "Mid-Age",
    F138 &gt; 40, "Old-Age"
)</f>
        <v>Old-Age</v>
      </c>
      <c r="H138" s="3" t="s">
        <v>11</v>
      </c>
      <c r="I138" s="3">
        <v>2</v>
      </c>
      <c r="J138" s="3">
        <v>500</v>
      </c>
      <c r="K138" s="3">
        <v>1000</v>
      </c>
      <c r="L138" s="3">
        <f t="shared" si="5"/>
        <v>0.76346450687297873</v>
      </c>
    </row>
    <row r="139" spans="1:12" x14ac:dyDescent="0.3">
      <c r="A139" s="3">
        <v>138</v>
      </c>
      <c r="B139" s="4">
        <v>45008</v>
      </c>
      <c r="C139" s="9" t="str">
        <f t="shared" si="4"/>
        <v>March</v>
      </c>
      <c r="D139" s="3" t="s">
        <v>151</v>
      </c>
      <c r="E139" s="3" t="s">
        <v>10</v>
      </c>
      <c r="F139" s="3">
        <v>49</v>
      </c>
      <c r="G139" s="8" t="str" cm="1">
        <f t="array" ref="G139">_xlfn.IFS(
    F139 &lt; 25, "Young",
    F139 &lt;= 40, "Mid-Age",
    F139 &gt; 40, "Old-Age"
)</f>
        <v>Old-Age</v>
      </c>
      <c r="H139" s="3" t="s">
        <v>14</v>
      </c>
      <c r="I139" s="3">
        <v>4</v>
      </c>
      <c r="J139" s="3">
        <v>50</v>
      </c>
      <c r="K139" s="3">
        <v>200</v>
      </c>
      <c r="L139" s="3">
        <f t="shared" si="5"/>
        <v>0.76704785737542036</v>
      </c>
    </row>
    <row r="140" spans="1:12" x14ac:dyDescent="0.3">
      <c r="A140" s="3">
        <v>139</v>
      </c>
      <c r="B140" s="4">
        <v>45275</v>
      </c>
      <c r="C140" s="9" t="str">
        <f t="shared" si="4"/>
        <v>December</v>
      </c>
      <c r="D140" s="3" t="s">
        <v>152</v>
      </c>
      <c r="E140" s="3" t="s">
        <v>10</v>
      </c>
      <c r="F140" s="3">
        <v>36</v>
      </c>
      <c r="G140" s="8" t="str" cm="1">
        <f t="array" ref="G140">_xlfn.IFS(
    F140 &lt; 25, "Young",
    F140 &lt;= 40, "Mid-Age",
    F140 &gt; 40, "Old-Age"
)</f>
        <v>Mid-Age</v>
      </c>
      <c r="H140" s="3" t="s">
        <v>11</v>
      </c>
      <c r="I140" s="3">
        <v>4</v>
      </c>
      <c r="J140" s="3">
        <v>500</v>
      </c>
      <c r="K140" s="3">
        <v>2000</v>
      </c>
      <c r="L140" s="3">
        <f t="shared" si="5"/>
        <v>0.76521779957242853</v>
      </c>
    </row>
    <row r="141" spans="1:12" x14ac:dyDescent="0.3">
      <c r="A141" s="3">
        <v>140</v>
      </c>
      <c r="B141" s="4">
        <v>45143</v>
      </c>
      <c r="C141" s="9" t="str">
        <f t="shared" si="4"/>
        <v>August</v>
      </c>
      <c r="D141" s="3" t="s">
        <v>153</v>
      </c>
      <c r="E141" s="3" t="s">
        <v>10</v>
      </c>
      <c r="F141" s="3">
        <v>38</v>
      </c>
      <c r="G141" s="8" t="str" cm="1">
        <f t="array" ref="G141">_xlfn.IFS(
    F141 &lt; 25, "Young",
    F141 &lt;= 40, "Mid-Age",
    F141 &gt; 40, "Old-Age"
)</f>
        <v>Mid-Age</v>
      </c>
      <c r="H141" s="3" t="s">
        <v>16</v>
      </c>
      <c r="I141" s="3">
        <v>1</v>
      </c>
      <c r="J141" s="3">
        <v>30</v>
      </c>
      <c r="K141" s="3">
        <v>30</v>
      </c>
      <c r="L141" s="3">
        <f t="shared" si="5"/>
        <v>0.76881170871216875</v>
      </c>
    </row>
    <row r="142" spans="1:12" x14ac:dyDescent="0.3">
      <c r="A142" s="3">
        <v>141</v>
      </c>
      <c r="B142" s="4">
        <v>45232</v>
      </c>
      <c r="C142" s="9" t="str">
        <f t="shared" si="4"/>
        <v>November</v>
      </c>
      <c r="D142" s="3" t="s">
        <v>154</v>
      </c>
      <c r="E142" s="3" t="s">
        <v>13</v>
      </c>
      <c r="F142" s="3">
        <v>22</v>
      </c>
      <c r="G142" s="8" t="str" cm="1">
        <f t="array" ref="G142">_xlfn.IFS(
    F142 &lt; 25, "Young",
    F142 &lt;= 40, "Mid-Age",
    F142 &gt; 40, "Old-Age"
)</f>
        <v>Young</v>
      </c>
      <c r="H142" s="3" t="s">
        <v>16</v>
      </c>
      <c r="I142" s="3">
        <v>1</v>
      </c>
      <c r="J142" s="3">
        <v>50</v>
      </c>
      <c r="K142" s="3">
        <v>50</v>
      </c>
      <c r="L142" s="3">
        <f t="shared" si="5"/>
        <v>0.76700918184284983</v>
      </c>
    </row>
    <row r="143" spans="1:12" x14ac:dyDescent="0.3">
      <c r="A143" s="3">
        <v>142</v>
      </c>
      <c r="B143" s="4">
        <v>44959</v>
      </c>
      <c r="C143" s="9" t="str">
        <f t="shared" si="4"/>
        <v>February</v>
      </c>
      <c r="D143" s="3" t="s">
        <v>155</v>
      </c>
      <c r="E143" s="3" t="s">
        <v>10</v>
      </c>
      <c r="F143" s="3">
        <v>35</v>
      </c>
      <c r="G143" s="8" t="str" cm="1">
        <f t="array" ref="G143">_xlfn.IFS(
    F143 &lt; 25, "Young",
    F143 &lt;= 40, "Mid-Age",
    F143 &gt; 40, "Old-Age"
)</f>
        <v>Mid-Age</v>
      </c>
      <c r="H143" s="3" t="s">
        <v>16</v>
      </c>
      <c r="I143" s="3">
        <v>4</v>
      </c>
      <c r="J143" s="3">
        <v>300</v>
      </c>
      <c r="K143" s="3">
        <v>1200</v>
      </c>
      <c r="L143" s="3">
        <f t="shared" si="5"/>
        <v>0.7651727110664307</v>
      </c>
    </row>
    <row r="144" spans="1:12" x14ac:dyDescent="0.3">
      <c r="A144" s="3">
        <v>143</v>
      </c>
      <c r="B144" s="4">
        <v>45124</v>
      </c>
      <c r="C144" s="9" t="str">
        <f t="shared" si="4"/>
        <v>July</v>
      </c>
      <c r="D144" s="3" t="s">
        <v>156</v>
      </c>
      <c r="E144" s="3" t="s">
        <v>13</v>
      </c>
      <c r="F144" s="3">
        <v>45</v>
      </c>
      <c r="G144" s="8" t="str" cm="1">
        <f t="array" ref="G144">_xlfn.IFS(
    F144 &lt; 25, "Young",
    F144 &lt;= 40, "Mid-Age",
    F144 &gt; 40, "Old-Age"
)</f>
        <v>Old-Age</v>
      </c>
      <c r="H144" s="3" t="s">
        <v>14</v>
      </c>
      <c r="I144" s="3">
        <v>1</v>
      </c>
      <c r="J144" s="3">
        <v>50</v>
      </c>
      <c r="K144" s="3">
        <v>50</v>
      </c>
      <c r="L144" s="3">
        <f t="shared" si="5"/>
        <v>0.76726805521579344</v>
      </c>
    </row>
    <row r="145" spans="1:12" x14ac:dyDescent="0.3">
      <c r="A145" s="3">
        <v>144</v>
      </c>
      <c r="B145" s="4">
        <v>45122</v>
      </c>
      <c r="C145" s="9" t="str">
        <f t="shared" si="4"/>
        <v>July</v>
      </c>
      <c r="D145" s="3" t="s">
        <v>157</v>
      </c>
      <c r="E145" s="3" t="s">
        <v>13</v>
      </c>
      <c r="F145" s="3">
        <v>59</v>
      </c>
      <c r="G145" s="8" t="str" cm="1">
        <f t="array" ref="G145">_xlfn.IFS(
    F145 &lt; 25, "Young",
    F145 &lt;= 40, "Mid-Age",
    F145 &gt; 40, "Old-Age"
)</f>
        <v>Old-Age</v>
      </c>
      <c r="H145" s="3" t="s">
        <v>11</v>
      </c>
      <c r="I145" s="3">
        <v>3</v>
      </c>
      <c r="J145" s="3">
        <v>500</v>
      </c>
      <c r="K145" s="3">
        <v>1500</v>
      </c>
      <c r="L145" s="3">
        <f t="shared" si="5"/>
        <v>0.7654273975220226</v>
      </c>
    </row>
    <row r="146" spans="1:12" x14ac:dyDescent="0.3">
      <c r="A146" s="3">
        <v>145</v>
      </c>
      <c r="B146" s="4">
        <v>45232</v>
      </c>
      <c r="C146" s="9" t="str">
        <f t="shared" si="4"/>
        <v>November</v>
      </c>
      <c r="D146" s="3" t="s">
        <v>158</v>
      </c>
      <c r="E146" s="3" t="s">
        <v>13</v>
      </c>
      <c r="F146" s="3">
        <v>39</v>
      </c>
      <c r="G146" s="8" t="str" cm="1">
        <f t="array" ref="G146">_xlfn.IFS(
    F146 &lt; 25, "Young",
    F146 &lt;= 40, "Mid-Age",
    F146 &gt; 40, "Old-Age"
)</f>
        <v>Mid-Age</v>
      </c>
      <c r="H146" s="3" t="s">
        <v>14</v>
      </c>
      <c r="I146" s="3">
        <v>3</v>
      </c>
      <c r="J146" s="3">
        <v>25</v>
      </c>
      <c r="K146" s="3">
        <v>75</v>
      </c>
      <c r="L146" s="3">
        <f t="shared" si="5"/>
        <v>0.7690428920796456</v>
      </c>
    </row>
    <row r="147" spans="1:12" x14ac:dyDescent="0.3">
      <c r="A147" s="3">
        <v>146</v>
      </c>
      <c r="B147" s="4">
        <v>45166</v>
      </c>
      <c r="C147" s="9" t="str">
        <f t="shared" si="4"/>
        <v>August</v>
      </c>
      <c r="D147" s="3" t="s">
        <v>159</v>
      </c>
      <c r="E147" s="3" t="s">
        <v>10</v>
      </c>
      <c r="F147" s="3">
        <v>38</v>
      </c>
      <c r="G147" s="8" t="str" cm="1">
        <f t="array" ref="G147">_xlfn.IFS(
    F147 &lt; 25, "Young",
    F147 &lt;= 40, "Mid-Age",
    F147 &gt; 40, "Old-Age"
)</f>
        <v>Mid-Age</v>
      </c>
      <c r="H147" s="3" t="s">
        <v>14</v>
      </c>
      <c r="I147" s="3">
        <v>4</v>
      </c>
      <c r="J147" s="3">
        <v>50</v>
      </c>
      <c r="K147" s="3">
        <v>200</v>
      </c>
      <c r="L147" s="3">
        <f t="shared" si="5"/>
        <v>0.76725163554062592</v>
      </c>
    </row>
    <row r="148" spans="1:12" x14ac:dyDescent="0.3">
      <c r="A148" s="3">
        <v>147</v>
      </c>
      <c r="B148" s="4">
        <v>45197</v>
      </c>
      <c r="C148" s="9" t="str">
        <f t="shared" si="4"/>
        <v>September</v>
      </c>
      <c r="D148" s="3" t="s">
        <v>160</v>
      </c>
      <c r="E148" s="3" t="s">
        <v>10</v>
      </c>
      <c r="F148" s="3">
        <v>23</v>
      </c>
      <c r="G148" s="8" t="str" cm="1">
        <f t="array" ref="G148">_xlfn.IFS(
    F148 &lt; 25, "Young",
    F148 &lt;= 40, "Mid-Age",
    F148 &gt; 40, "Old-Age"
)</f>
        <v>Young</v>
      </c>
      <c r="H148" s="3" t="s">
        <v>16</v>
      </c>
      <c r="I148" s="3">
        <v>1</v>
      </c>
      <c r="J148" s="3">
        <v>300</v>
      </c>
      <c r="K148" s="3">
        <v>300</v>
      </c>
      <c r="L148" s="3">
        <f t="shared" si="5"/>
        <v>0.76540448936355254</v>
      </c>
    </row>
    <row r="149" spans="1:12" x14ac:dyDescent="0.3">
      <c r="A149" s="3">
        <v>148</v>
      </c>
      <c r="B149" s="4">
        <v>45055</v>
      </c>
      <c r="C149" s="9" t="str">
        <f t="shared" si="4"/>
        <v>May</v>
      </c>
      <c r="D149" s="3" t="s">
        <v>161</v>
      </c>
      <c r="E149" s="3" t="s">
        <v>10</v>
      </c>
      <c r="F149" s="3">
        <v>18</v>
      </c>
      <c r="G149" s="8" t="str" cm="1">
        <f t="array" ref="G149">_xlfn.IFS(
    F149 &lt; 25, "Young",
    F149 &lt;= 40, "Mid-Age",
    F149 &gt; 40, "Old-Age"
)</f>
        <v>Young</v>
      </c>
      <c r="H149" s="3" t="s">
        <v>14</v>
      </c>
      <c r="I149" s="3">
        <v>2</v>
      </c>
      <c r="J149" s="3">
        <v>30</v>
      </c>
      <c r="K149" s="3">
        <v>60</v>
      </c>
      <c r="L149" s="3">
        <f t="shared" si="5"/>
        <v>0.76751306255435603</v>
      </c>
    </row>
    <row r="150" spans="1:12" x14ac:dyDescent="0.3">
      <c r="A150" s="3">
        <v>149</v>
      </c>
      <c r="B150" s="4">
        <v>45210</v>
      </c>
      <c r="C150" s="9" t="str">
        <f t="shared" si="4"/>
        <v>October</v>
      </c>
      <c r="D150" s="3" t="s">
        <v>162</v>
      </c>
      <c r="E150" s="3" t="s">
        <v>10</v>
      </c>
      <c r="F150" s="3">
        <v>22</v>
      </c>
      <c r="G150" s="8" t="str" cm="1">
        <f t="array" ref="G150">_xlfn.IFS(
    F150 &lt; 25, "Young",
    F150 &lt;= 40, "Mid-Age",
    F150 &gt; 40, "Old-Age"
)</f>
        <v>Young</v>
      </c>
      <c r="H150" s="3" t="s">
        <v>14</v>
      </c>
      <c r="I150" s="3">
        <v>3</v>
      </c>
      <c r="J150" s="3">
        <v>25</v>
      </c>
      <c r="K150" s="3">
        <v>75</v>
      </c>
      <c r="L150" s="3">
        <f t="shared" si="5"/>
        <v>0.76569293403462935</v>
      </c>
    </row>
    <row r="151" spans="1:12" x14ac:dyDescent="0.3">
      <c r="A151" s="3">
        <v>150</v>
      </c>
      <c r="B151" s="4">
        <v>44932</v>
      </c>
      <c r="C151" s="9" t="str">
        <f t="shared" si="4"/>
        <v>January</v>
      </c>
      <c r="D151" s="3" t="s">
        <v>163</v>
      </c>
      <c r="E151" s="3" t="s">
        <v>13</v>
      </c>
      <c r="F151" s="3">
        <v>58</v>
      </c>
      <c r="G151" s="8" t="str" cm="1">
        <f t="array" ref="G151">_xlfn.IFS(
    F151 &lt; 25, "Young",
    F151 &lt;= 40, "Mid-Age",
    F151 &gt; 40, "Old-Age"
)</f>
        <v>Old-Age</v>
      </c>
      <c r="H151" s="3" t="s">
        <v>16</v>
      </c>
      <c r="I151" s="3">
        <v>4</v>
      </c>
      <c r="J151" s="3">
        <v>30</v>
      </c>
      <c r="K151" s="3">
        <v>120</v>
      </c>
      <c r="L151" s="3">
        <f t="shared" si="5"/>
        <v>0.76389231544990799</v>
      </c>
    </row>
    <row r="152" spans="1:12" x14ac:dyDescent="0.3">
      <c r="A152" s="3">
        <v>151</v>
      </c>
      <c r="B152" s="4">
        <v>45275</v>
      </c>
      <c r="C152" s="9" t="str">
        <f t="shared" si="4"/>
        <v>December</v>
      </c>
      <c r="D152" s="3" t="s">
        <v>164</v>
      </c>
      <c r="E152" s="3" t="s">
        <v>10</v>
      </c>
      <c r="F152" s="3">
        <v>29</v>
      </c>
      <c r="G152" s="8" t="str" cm="1">
        <f t="array" ref="G152">_xlfn.IFS(
    F152 &lt; 25, "Young",
    F152 &lt;= 40, "Mid-Age",
    F152 &gt; 40, "Old-Age"
)</f>
        <v>Mid-Age</v>
      </c>
      <c r="H152" s="3" t="s">
        <v>14</v>
      </c>
      <c r="I152" s="3">
        <v>1</v>
      </c>
      <c r="J152" s="3">
        <v>50</v>
      </c>
      <c r="K152" s="3">
        <v>50</v>
      </c>
      <c r="L152" s="3">
        <f t="shared" si="5"/>
        <v>0.76206723313133362</v>
      </c>
    </row>
    <row r="153" spans="1:12" x14ac:dyDescent="0.3">
      <c r="A153" s="3">
        <v>152</v>
      </c>
      <c r="B153" s="4">
        <v>44985</v>
      </c>
      <c r="C153" s="9" t="str">
        <f t="shared" si="4"/>
        <v>February</v>
      </c>
      <c r="D153" s="3" t="s">
        <v>165</v>
      </c>
      <c r="E153" s="3" t="s">
        <v>10</v>
      </c>
      <c r="F153" s="3">
        <v>43</v>
      </c>
      <c r="G153" s="8" t="str" cm="1">
        <f t="array" ref="G153">_xlfn.IFS(
    F153 &lt; 25, "Young",
    F153 &lt;= 40, "Mid-Age",
    F153 &gt; 40, "Old-Age"
)</f>
        <v>Old-Age</v>
      </c>
      <c r="H153" s="3" t="s">
        <v>16</v>
      </c>
      <c r="I153" s="3">
        <v>4</v>
      </c>
      <c r="J153" s="3">
        <v>500</v>
      </c>
      <c r="K153" s="3">
        <v>2000</v>
      </c>
      <c r="L153" s="3">
        <f t="shared" si="5"/>
        <v>0.76020786861901402</v>
      </c>
    </row>
    <row r="154" spans="1:12" x14ac:dyDescent="0.3">
      <c r="A154" s="3">
        <v>153</v>
      </c>
      <c r="B154" s="4">
        <v>45276</v>
      </c>
      <c r="C154" s="9" t="str">
        <f t="shared" si="4"/>
        <v>December</v>
      </c>
      <c r="D154" s="3" t="s">
        <v>166</v>
      </c>
      <c r="E154" s="3" t="s">
        <v>10</v>
      </c>
      <c r="F154" s="3">
        <v>63</v>
      </c>
      <c r="G154" s="8" t="str" cm="1">
        <f t="array" ref="G154">_xlfn.IFS(
    F154 &lt; 25, "Young",
    F154 &lt;= 40, "Mid-Age",
    F154 &gt; 40, "Old-Age"
)</f>
        <v>Old-Age</v>
      </c>
      <c r="H154" s="3" t="s">
        <v>16</v>
      </c>
      <c r="I154" s="3">
        <v>2</v>
      </c>
      <c r="J154" s="3">
        <v>500</v>
      </c>
      <c r="K154" s="3">
        <v>1000</v>
      </c>
      <c r="L154" s="3">
        <f t="shared" si="5"/>
        <v>0.76384179145158304</v>
      </c>
    </row>
    <row r="155" spans="1:12" x14ac:dyDescent="0.3">
      <c r="A155" s="3">
        <v>154</v>
      </c>
      <c r="B155" s="4">
        <v>45201</v>
      </c>
      <c r="C155" s="9" t="str">
        <f t="shared" si="4"/>
        <v>October</v>
      </c>
      <c r="D155" s="3" t="s">
        <v>167</v>
      </c>
      <c r="E155" s="3" t="s">
        <v>10</v>
      </c>
      <c r="F155" s="3">
        <v>51</v>
      </c>
      <c r="G155" s="8" t="str" cm="1">
        <f t="array" ref="G155">_xlfn.IFS(
    F155 &lt; 25, "Young",
    F155 &lt;= 40, "Mid-Age",
    F155 &gt; 40, "Old-Age"
)</f>
        <v>Old-Age</v>
      </c>
      <c r="H155" s="3" t="s">
        <v>16</v>
      </c>
      <c r="I155" s="3">
        <v>3</v>
      </c>
      <c r="J155" s="3">
        <v>300</v>
      </c>
      <c r="K155" s="3">
        <v>900</v>
      </c>
      <c r="L155" s="3">
        <f t="shared" si="5"/>
        <v>0.76748780391474158</v>
      </c>
    </row>
    <row r="156" spans="1:12" x14ac:dyDescent="0.3">
      <c r="A156" s="3">
        <v>155</v>
      </c>
      <c r="B156" s="4">
        <v>45063</v>
      </c>
      <c r="C156" s="9" t="str">
        <f t="shared" si="4"/>
        <v>May</v>
      </c>
      <c r="D156" s="3" t="s">
        <v>168</v>
      </c>
      <c r="E156" s="3" t="s">
        <v>10</v>
      </c>
      <c r="F156" s="3">
        <v>31</v>
      </c>
      <c r="G156" s="8" t="str" cm="1">
        <f t="array" ref="G156">_xlfn.IFS(
    F156 &lt; 25, "Young",
    F156 &lt;= 40, "Mid-Age",
    F156 &gt; 40, "Old-Age"
)</f>
        <v>Mid-Age</v>
      </c>
      <c r="H156" s="3" t="s">
        <v>16</v>
      </c>
      <c r="I156" s="3">
        <v>4</v>
      </c>
      <c r="J156" s="3">
        <v>500</v>
      </c>
      <c r="K156" s="3">
        <v>2000</v>
      </c>
      <c r="L156" s="3">
        <f t="shared" si="5"/>
        <v>0.76962140473853713</v>
      </c>
    </row>
    <row r="157" spans="1:12" x14ac:dyDescent="0.3">
      <c r="A157" s="3">
        <v>156</v>
      </c>
      <c r="B157" s="4">
        <v>45255</v>
      </c>
      <c r="C157" s="9" t="str">
        <f t="shared" si="4"/>
        <v>November</v>
      </c>
      <c r="D157" s="3" t="s">
        <v>169</v>
      </c>
      <c r="E157" s="3" t="s">
        <v>13</v>
      </c>
      <c r="F157" s="3">
        <v>43</v>
      </c>
      <c r="G157" s="8" t="str" cm="1">
        <f t="array" ref="G157">_xlfn.IFS(
    F157 &lt; 25, "Young",
    F157 &lt;= 40, "Mid-Age",
    F157 &gt; 40, "Old-Age"
)</f>
        <v>Old-Age</v>
      </c>
      <c r="H157" s="3" t="s">
        <v>14</v>
      </c>
      <c r="I157" s="3">
        <v>4</v>
      </c>
      <c r="J157" s="3">
        <v>25</v>
      </c>
      <c r="K157" s="3">
        <v>100</v>
      </c>
      <c r="L157" s="3">
        <f t="shared" si="5"/>
        <v>0.7732934324366515</v>
      </c>
    </row>
    <row r="158" spans="1:12" x14ac:dyDescent="0.3">
      <c r="A158" s="3">
        <v>157</v>
      </c>
      <c r="B158" s="4">
        <v>45101</v>
      </c>
      <c r="C158" s="9" t="str">
        <f t="shared" si="4"/>
        <v>June</v>
      </c>
      <c r="D158" s="3" t="s">
        <v>170</v>
      </c>
      <c r="E158" s="3" t="s">
        <v>10</v>
      </c>
      <c r="F158" s="3">
        <v>62</v>
      </c>
      <c r="G158" s="8" t="str" cm="1">
        <f t="array" ref="G158">_xlfn.IFS(
    F158 &lt; 25, "Young",
    F158 &lt;= 40, "Mid-Age",
    F158 &gt; 40, "Old-Age"
)</f>
        <v>Old-Age</v>
      </c>
      <c r="H158" s="3" t="s">
        <v>16</v>
      </c>
      <c r="I158" s="3">
        <v>4</v>
      </c>
      <c r="J158" s="3">
        <v>500</v>
      </c>
      <c r="K158" s="3">
        <v>2000</v>
      </c>
      <c r="L158" s="3">
        <f t="shared" si="5"/>
        <v>0.77147996268672026</v>
      </c>
    </row>
    <row r="159" spans="1:12" x14ac:dyDescent="0.3">
      <c r="A159" s="3">
        <v>158</v>
      </c>
      <c r="B159" s="4">
        <v>44984</v>
      </c>
      <c r="C159" s="9" t="str">
        <f t="shared" si="4"/>
        <v>February</v>
      </c>
      <c r="D159" s="3" t="s">
        <v>171</v>
      </c>
      <c r="E159" s="3" t="s">
        <v>13</v>
      </c>
      <c r="F159" s="3">
        <v>44</v>
      </c>
      <c r="G159" s="8" t="str" cm="1">
        <f t="array" ref="G159">_xlfn.IFS(
    F159 &lt; 25, "Young",
    F159 &lt;= 40, "Mid-Age",
    F159 &gt; 40, "Old-Age"
)</f>
        <v>Old-Age</v>
      </c>
      <c r="H159" s="3" t="s">
        <v>16</v>
      </c>
      <c r="I159" s="3">
        <v>2</v>
      </c>
      <c r="J159" s="3">
        <v>300</v>
      </c>
      <c r="K159" s="3">
        <v>600</v>
      </c>
      <c r="L159" s="3">
        <f t="shared" si="5"/>
        <v>0.77516315802275382</v>
      </c>
    </row>
    <row r="160" spans="1:12" x14ac:dyDescent="0.3">
      <c r="A160" s="3">
        <v>159</v>
      </c>
      <c r="B160" s="4">
        <v>45077</v>
      </c>
      <c r="C160" s="9" t="str">
        <f t="shared" si="4"/>
        <v>May</v>
      </c>
      <c r="D160" s="3" t="s">
        <v>172</v>
      </c>
      <c r="E160" s="3" t="s">
        <v>10</v>
      </c>
      <c r="F160" s="3">
        <v>26</v>
      </c>
      <c r="G160" s="8" t="str" cm="1">
        <f t="array" ref="G160">_xlfn.IFS(
    F160 &lt; 25, "Young",
    F160 &lt;= 40, "Mid-Age",
    F160 &gt; 40, "Old-Age"
)</f>
        <v>Mid-Age</v>
      </c>
      <c r="H160" s="3" t="s">
        <v>14</v>
      </c>
      <c r="I160" s="3">
        <v>4</v>
      </c>
      <c r="J160" s="3">
        <v>50</v>
      </c>
      <c r="K160" s="3">
        <v>200</v>
      </c>
      <c r="L160" s="3">
        <f t="shared" si="5"/>
        <v>0.77732784344105943</v>
      </c>
    </row>
    <row r="161" spans="1:12" x14ac:dyDescent="0.3">
      <c r="A161" s="3">
        <v>160</v>
      </c>
      <c r="B161" s="4">
        <v>45149</v>
      </c>
      <c r="C161" s="9" t="str">
        <f t="shared" si="4"/>
        <v>August</v>
      </c>
      <c r="D161" s="3" t="s">
        <v>173</v>
      </c>
      <c r="E161" s="3" t="s">
        <v>13</v>
      </c>
      <c r="F161" s="3">
        <v>43</v>
      </c>
      <c r="G161" s="8" t="str" cm="1">
        <f t="array" ref="G161">_xlfn.IFS(
    F161 &lt; 25, "Young",
    F161 &lt;= 40, "Mid-Age",
    F161 &gt; 40, "Old-Age"
)</f>
        <v>Old-Age</v>
      </c>
      <c r="H161" s="3" t="s">
        <v>14</v>
      </c>
      <c r="I161" s="3">
        <v>2</v>
      </c>
      <c r="J161" s="3">
        <v>50</v>
      </c>
      <c r="K161" s="3">
        <v>100</v>
      </c>
      <c r="L161" s="3">
        <f t="shared" si="5"/>
        <v>0.77545468858138455</v>
      </c>
    </row>
    <row r="162" spans="1:12" x14ac:dyDescent="0.3">
      <c r="A162" s="3">
        <v>161</v>
      </c>
      <c r="B162" s="4">
        <v>45007</v>
      </c>
      <c r="C162" s="9" t="str">
        <f t="shared" si="4"/>
        <v>March</v>
      </c>
      <c r="D162" s="3" t="s">
        <v>174</v>
      </c>
      <c r="E162" s="3" t="s">
        <v>10</v>
      </c>
      <c r="F162" s="3">
        <v>64</v>
      </c>
      <c r="G162" s="8" t="str" cm="1">
        <f t="array" ref="G162">_xlfn.IFS(
    F162 &lt; 25, "Young",
    F162 &lt;= 40, "Mid-Age",
    F162 &gt; 40, "Old-Age"
)</f>
        <v>Old-Age</v>
      </c>
      <c r="H162" s="3" t="s">
        <v>11</v>
      </c>
      <c r="I162" s="3">
        <v>2</v>
      </c>
      <c r="J162" s="3">
        <v>500</v>
      </c>
      <c r="K162" s="3">
        <v>1000</v>
      </c>
      <c r="L162" s="3">
        <f t="shared" si="5"/>
        <v>0.77357884520641651</v>
      </c>
    </row>
    <row r="163" spans="1:12" x14ac:dyDescent="0.3">
      <c r="A163" s="3">
        <v>162</v>
      </c>
      <c r="B163" s="4">
        <v>45159</v>
      </c>
      <c r="C163" s="9" t="str">
        <f t="shared" si="4"/>
        <v>August</v>
      </c>
      <c r="D163" s="3" t="s">
        <v>175</v>
      </c>
      <c r="E163" s="3" t="s">
        <v>10</v>
      </c>
      <c r="F163" s="3">
        <v>39</v>
      </c>
      <c r="G163" s="8" t="str" cm="1">
        <f t="array" ref="G163">_xlfn.IFS(
    F163 &lt; 25, "Young",
    F163 &lt;= 40, "Mid-Age",
    F163 &gt; 40, "Old-Age"
)</f>
        <v>Mid-Age</v>
      </c>
      <c r="H163" s="3" t="s">
        <v>14</v>
      </c>
      <c r="I163" s="3">
        <v>2</v>
      </c>
      <c r="J163" s="3">
        <v>30</v>
      </c>
      <c r="K163" s="3">
        <v>60</v>
      </c>
      <c r="L163" s="3">
        <f t="shared" si="5"/>
        <v>0.77728595432937886</v>
      </c>
    </row>
    <row r="164" spans="1:12" x14ac:dyDescent="0.3">
      <c r="A164" s="3">
        <v>163</v>
      </c>
      <c r="B164" s="4">
        <v>44928</v>
      </c>
      <c r="C164" s="9" t="str">
        <f t="shared" si="4"/>
        <v>January</v>
      </c>
      <c r="D164" s="3" t="s">
        <v>176</v>
      </c>
      <c r="E164" s="3" t="s">
        <v>13</v>
      </c>
      <c r="F164" s="3">
        <v>64</v>
      </c>
      <c r="G164" s="8" t="str" cm="1">
        <f t="array" ref="G164">_xlfn.IFS(
    F164 &lt; 25, "Young",
    F164 &lt;= 40, "Mid-Age",
    F164 &gt; 40, "Old-Age"
)</f>
        <v>Old-Age</v>
      </c>
      <c r="H164" s="3" t="s">
        <v>14</v>
      </c>
      <c r="I164" s="3">
        <v>3</v>
      </c>
      <c r="J164" s="3">
        <v>50</v>
      </c>
      <c r="K164" s="3">
        <v>150</v>
      </c>
      <c r="L164" s="3">
        <f t="shared" si="5"/>
        <v>0.77543791883008273</v>
      </c>
    </row>
    <row r="165" spans="1:12" x14ac:dyDescent="0.3">
      <c r="A165" s="3">
        <v>164</v>
      </c>
      <c r="B165" s="4">
        <v>45061</v>
      </c>
      <c r="C165" s="9" t="str">
        <f t="shared" si="4"/>
        <v>May</v>
      </c>
      <c r="D165" s="3" t="s">
        <v>177</v>
      </c>
      <c r="E165" s="3" t="s">
        <v>13</v>
      </c>
      <c r="F165" s="3">
        <v>47</v>
      </c>
      <c r="G165" s="8" t="str" cm="1">
        <f t="array" ref="G165">_xlfn.IFS(
    F165 &lt; 25, "Young",
    F165 &lt;= 40, "Mid-Age",
    F165 &gt; 40, "Old-Age"
)</f>
        <v>Old-Age</v>
      </c>
      <c r="H165" s="3" t="s">
        <v>11</v>
      </c>
      <c r="I165" s="3">
        <v>3</v>
      </c>
      <c r="J165" s="3">
        <v>500</v>
      </c>
      <c r="K165" s="3">
        <v>1500</v>
      </c>
      <c r="L165" s="3">
        <f t="shared" si="5"/>
        <v>0.77355533529215281</v>
      </c>
    </row>
    <row r="166" spans="1:12" x14ac:dyDescent="0.3">
      <c r="A166" s="3">
        <v>165</v>
      </c>
      <c r="B166" s="4">
        <v>45183</v>
      </c>
      <c r="C166" s="9" t="str">
        <f t="shared" si="4"/>
        <v>September</v>
      </c>
      <c r="D166" s="3" t="s">
        <v>178</v>
      </c>
      <c r="E166" s="3" t="s">
        <v>13</v>
      </c>
      <c r="F166" s="3">
        <v>60</v>
      </c>
      <c r="G166" s="8" t="str" cm="1">
        <f t="array" ref="G166">_xlfn.IFS(
    F166 &lt; 25, "Young",
    F166 &lt;= 40, "Mid-Age",
    F166 &gt; 40, "Old-Age"
)</f>
        <v>Old-Age</v>
      </c>
      <c r="H166" s="3" t="s">
        <v>14</v>
      </c>
      <c r="I166" s="3">
        <v>4</v>
      </c>
      <c r="J166" s="3">
        <v>300</v>
      </c>
      <c r="K166" s="3">
        <v>1200</v>
      </c>
      <c r="L166" s="3">
        <f t="shared" si="5"/>
        <v>0.77727237774461078</v>
      </c>
    </row>
    <row r="167" spans="1:12" x14ac:dyDescent="0.3">
      <c r="A167" s="3">
        <v>166</v>
      </c>
      <c r="B167" s="4">
        <v>45018</v>
      </c>
      <c r="C167" s="9" t="str">
        <f t="shared" si="4"/>
        <v>April</v>
      </c>
      <c r="D167" s="3" t="s">
        <v>179</v>
      </c>
      <c r="E167" s="3" t="s">
        <v>10</v>
      </c>
      <c r="F167" s="3">
        <v>34</v>
      </c>
      <c r="G167" s="8" t="str" cm="1">
        <f t="array" ref="G167">_xlfn.IFS(
    F167 &lt; 25, "Young",
    F167 &lt;= 40, "Mid-Age",
    F167 &gt; 40, "Old-Age"
)</f>
        <v>Mid-Age</v>
      </c>
      <c r="H167" s="3" t="s">
        <v>14</v>
      </c>
      <c r="I167" s="3">
        <v>4</v>
      </c>
      <c r="J167" s="3">
        <v>500</v>
      </c>
      <c r="K167" s="3">
        <v>2000</v>
      </c>
      <c r="L167" s="3">
        <f t="shared" si="5"/>
        <v>0.7794639172060972</v>
      </c>
    </row>
    <row r="168" spans="1:12" x14ac:dyDescent="0.3">
      <c r="A168" s="3">
        <v>167</v>
      </c>
      <c r="B168" s="4">
        <v>45186</v>
      </c>
      <c r="C168" s="9" t="str">
        <f t="shared" si="4"/>
        <v>September</v>
      </c>
      <c r="D168" s="3" t="s">
        <v>180</v>
      </c>
      <c r="E168" s="3" t="s">
        <v>13</v>
      </c>
      <c r="F168" s="3">
        <v>43</v>
      </c>
      <c r="G168" s="8" t="str" cm="1">
        <f t="array" ref="G168">_xlfn.IFS(
    F168 &lt; 25, "Young",
    F168 &lt;= 40, "Mid-Age",
    F168 &gt; 40, "Old-Age"
)</f>
        <v>Old-Age</v>
      </c>
      <c r="H168" s="3" t="s">
        <v>14</v>
      </c>
      <c r="I168" s="3">
        <v>3</v>
      </c>
      <c r="J168" s="3">
        <v>50</v>
      </c>
      <c r="K168" s="3">
        <v>150</v>
      </c>
      <c r="L168" s="3">
        <f t="shared" si="5"/>
        <v>0.78320801040418764</v>
      </c>
    </row>
    <row r="169" spans="1:12" x14ac:dyDescent="0.3">
      <c r="A169" s="3">
        <v>168</v>
      </c>
      <c r="B169" s="4">
        <v>44981</v>
      </c>
      <c r="C169" s="9" t="str">
        <f t="shared" si="4"/>
        <v>February</v>
      </c>
      <c r="D169" s="3" t="s">
        <v>181</v>
      </c>
      <c r="E169" s="3" t="s">
        <v>10</v>
      </c>
      <c r="F169" s="3">
        <v>53</v>
      </c>
      <c r="G169" s="8" t="str" cm="1">
        <f t="array" ref="G169">_xlfn.IFS(
    F169 &lt; 25, "Young",
    F169 &lt;= 40, "Mid-Age",
    F169 &gt; 40, "Old-Age"
)</f>
        <v>Old-Age</v>
      </c>
      <c r="H169" s="3" t="s">
        <v>14</v>
      </c>
      <c r="I169" s="3">
        <v>1</v>
      </c>
      <c r="J169" s="3">
        <v>300</v>
      </c>
      <c r="K169" s="3">
        <v>300</v>
      </c>
      <c r="L169" s="3">
        <f t="shared" si="5"/>
        <v>0.7813183490895188</v>
      </c>
    </row>
    <row r="170" spans="1:12" x14ac:dyDescent="0.3">
      <c r="A170" s="3">
        <v>169</v>
      </c>
      <c r="B170" s="4">
        <v>45247</v>
      </c>
      <c r="C170" s="9" t="str">
        <f t="shared" si="4"/>
        <v>November</v>
      </c>
      <c r="D170" s="3" t="s">
        <v>182</v>
      </c>
      <c r="E170" s="3" t="s">
        <v>10</v>
      </c>
      <c r="F170" s="3">
        <v>18</v>
      </c>
      <c r="G170" s="8" t="str" cm="1">
        <f t="array" ref="G170">_xlfn.IFS(
    F170 &lt; 25, "Young",
    F170 &lt;= 40, "Mid-Age",
    F170 &gt; 40, "Old-Age"
)</f>
        <v>Young</v>
      </c>
      <c r="H170" s="3" t="s">
        <v>11</v>
      </c>
      <c r="I170" s="3">
        <v>3</v>
      </c>
      <c r="J170" s="3">
        <v>500</v>
      </c>
      <c r="K170" s="3">
        <v>1500</v>
      </c>
      <c r="L170" s="3">
        <f t="shared" si="5"/>
        <v>0.78352805320583718</v>
      </c>
    </row>
    <row r="171" spans="1:12" x14ac:dyDescent="0.3">
      <c r="A171" s="3">
        <v>170</v>
      </c>
      <c r="B171" s="4">
        <v>45079</v>
      </c>
      <c r="C171" s="9" t="str">
        <f t="shared" si="4"/>
        <v>June</v>
      </c>
      <c r="D171" s="3" t="s">
        <v>183</v>
      </c>
      <c r="E171" s="3" t="s">
        <v>13</v>
      </c>
      <c r="F171" s="3">
        <v>25</v>
      </c>
      <c r="G171" s="8" t="str" cm="1">
        <f t="array" ref="G171">_xlfn.IFS(
    F171 &lt; 25, "Young",
    F171 &lt;= 40, "Mid-Age",
    F171 &gt; 40, "Old-Age"
)</f>
        <v>Mid-Age</v>
      </c>
      <c r="H171" s="3" t="s">
        <v>14</v>
      </c>
      <c r="I171" s="3">
        <v>2</v>
      </c>
      <c r="J171" s="3">
        <v>25</v>
      </c>
      <c r="K171" s="3">
        <v>50</v>
      </c>
      <c r="L171" s="3">
        <f t="shared" si="5"/>
        <v>0.78729822615489742</v>
      </c>
    </row>
    <row r="172" spans="1:12" x14ac:dyDescent="0.3">
      <c r="A172" s="3">
        <v>171</v>
      </c>
      <c r="B172" s="4">
        <v>45254</v>
      </c>
      <c r="C172" s="9" t="str">
        <f t="shared" si="4"/>
        <v>November</v>
      </c>
      <c r="D172" s="3" t="s">
        <v>184</v>
      </c>
      <c r="E172" s="3" t="s">
        <v>13</v>
      </c>
      <c r="F172" s="3">
        <v>52</v>
      </c>
      <c r="G172" s="8" t="str" cm="1">
        <f t="array" ref="G172">_xlfn.IFS(
    F172 &lt; 25, "Young",
    F172 &lt;= 40, "Mid-Age",
    F172 &gt; 40, "Old-Age"
)</f>
        <v>Old-Age</v>
      </c>
      <c r="H172" s="3" t="s">
        <v>14</v>
      </c>
      <c r="I172" s="3">
        <v>3</v>
      </c>
      <c r="J172" s="3">
        <v>300</v>
      </c>
      <c r="K172" s="3">
        <v>900</v>
      </c>
      <c r="L172" s="3">
        <f t="shared" si="5"/>
        <v>0.78545708970590145</v>
      </c>
    </row>
    <row r="173" spans="1:12" x14ac:dyDescent="0.3">
      <c r="A173" s="3">
        <v>172</v>
      </c>
      <c r="B173" s="4">
        <v>45186</v>
      </c>
      <c r="C173" s="9" t="str">
        <f t="shared" si="4"/>
        <v>September</v>
      </c>
      <c r="D173" s="3" t="s">
        <v>185</v>
      </c>
      <c r="E173" s="3" t="s">
        <v>10</v>
      </c>
      <c r="F173" s="3">
        <v>32</v>
      </c>
      <c r="G173" s="8" t="str" cm="1">
        <f t="array" ref="G173">_xlfn.IFS(
    F173 &lt; 25, "Young",
    F173 &lt;= 40, "Mid-Age",
    F173 &gt; 40, "Old-Age"
)</f>
        <v>Mid-Age</v>
      </c>
      <c r="H173" s="3" t="s">
        <v>11</v>
      </c>
      <c r="I173" s="3">
        <v>2</v>
      </c>
      <c r="J173" s="3">
        <v>25</v>
      </c>
      <c r="K173" s="3">
        <v>50</v>
      </c>
      <c r="L173" s="3">
        <f t="shared" si="5"/>
        <v>0.78768491597670243</v>
      </c>
    </row>
    <row r="174" spans="1:12" x14ac:dyDescent="0.3">
      <c r="A174" s="3">
        <v>173</v>
      </c>
      <c r="B174" s="4">
        <v>45238</v>
      </c>
      <c r="C174" s="9" t="str">
        <f t="shared" si="4"/>
        <v>November</v>
      </c>
      <c r="D174" s="3" t="s">
        <v>186</v>
      </c>
      <c r="E174" s="3" t="s">
        <v>10</v>
      </c>
      <c r="F174" s="3">
        <v>64</v>
      </c>
      <c r="G174" s="8" t="str" cm="1">
        <f t="array" ref="G174">_xlfn.IFS(
    F174 &lt; 25, "Young",
    F174 &lt;= 40, "Mid-Age",
    F174 &gt; 40, "Old-Age"
)</f>
        <v>Old-Age</v>
      </c>
      <c r="H174" s="3" t="s">
        <v>16</v>
      </c>
      <c r="I174" s="3">
        <v>4</v>
      </c>
      <c r="J174" s="3">
        <v>30</v>
      </c>
      <c r="K174" s="3">
        <v>120</v>
      </c>
      <c r="L174" s="3">
        <f t="shared" si="5"/>
        <v>0.78583926891557632</v>
      </c>
    </row>
    <row r="175" spans="1:12" x14ac:dyDescent="0.3">
      <c r="A175" s="3">
        <v>174</v>
      </c>
      <c r="B175" s="4">
        <v>45028</v>
      </c>
      <c r="C175" s="9" t="str">
        <f t="shared" si="4"/>
        <v>April</v>
      </c>
      <c r="D175" s="3" t="s">
        <v>187</v>
      </c>
      <c r="E175" s="3" t="s">
        <v>13</v>
      </c>
      <c r="F175" s="3">
        <v>39</v>
      </c>
      <c r="G175" s="8" t="str" cm="1">
        <f t="array" ref="G175">_xlfn.IFS(
    F175 &lt; 25, "Young",
    F175 &lt;= 40, "Mid-Age",
    F175 &gt; 40, "Old-Age"
)</f>
        <v>Mid-Age</v>
      </c>
      <c r="H175" s="3" t="s">
        <v>11</v>
      </c>
      <c r="I175" s="3">
        <v>1</v>
      </c>
      <c r="J175" s="3">
        <v>300</v>
      </c>
      <c r="K175" s="3">
        <v>300</v>
      </c>
      <c r="L175" s="3">
        <f t="shared" si="5"/>
        <v>0.78396841797766237</v>
      </c>
    </row>
    <row r="176" spans="1:12" x14ac:dyDescent="0.3">
      <c r="A176" s="3">
        <v>175</v>
      </c>
      <c r="B176" s="4">
        <v>45005</v>
      </c>
      <c r="C176" s="9" t="str">
        <f t="shared" si="4"/>
        <v>March</v>
      </c>
      <c r="D176" s="3" t="s">
        <v>188</v>
      </c>
      <c r="E176" s="3" t="s">
        <v>13</v>
      </c>
      <c r="F176" s="3">
        <v>31</v>
      </c>
      <c r="G176" s="8" t="str" cm="1">
        <f t="array" ref="G176">_xlfn.IFS(
    F176 &lt; 25, "Young",
    F176 &lt;= 40, "Mid-Age",
    F176 &gt; 40, "Old-Age"
)</f>
        <v>Mid-Age</v>
      </c>
      <c r="H176" s="3" t="s">
        <v>16</v>
      </c>
      <c r="I176" s="3">
        <v>4</v>
      </c>
      <c r="J176" s="3">
        <v>25</v>
      </c>
      <c r="K176" s="3">
        <v>100</v>
      </c>
      <c r="L176" s="3">
        <f t="shared" si="5"/>
        <v>0.78619768327037176</v>
      </c>
    </row>
    <row r="177" spans="1:12" x14ac:dyDescent="0.3">
      <c r="A177" s="3">
        <v>176</v>
      </c>
      <c r="B177" s="4">
        <v>45118</v>
      </c>
      <c r="C177" s="9" t="str">
        <f t="shared" si="4"/>
        <v>July</v>
      </c>
      <c r="D177" s="3" t="s">
        <v>189</v>
      </c>
      <c r="E177" s="3" t="s">
        <v>13</v>
      </c>
      <c r="F177" s="3">
        <v>43</v>
      </c>
      <c r="G177" s="8" t="str" cm="1">
        <f t="array" ref="G177">_xlfn.IFS(
    F177 &lt; 25, "Young",
    F177 &lt;= 40, "Mid-Age",
    F177 &gt; 40, "Old-Age"
)</f>
        <v>Old-Age</v>
      </c>
      <c r="H177" s="3" t="s">
        <v>11</v>
      </c>
      <c r="I177" s="3">
        <v>2</v>
      </c>
      <c r="J177" s="3">
        <v>50</v>
      </c>
      <c r="K177" s="3">
        <v>100</v>
      </c>
      <c r="L177" s="3">
        <f t="shared" si="5"/>
        <v>0.78434492967171754</v>
      </c>
    </row>
    <row r="178" spans="1:12" x14ac:dyDescent="0.3">
      <c r="A178" s="3">
        <v>177</v>
      </c>
      <c r="B178" s="4">
        <v>45009</v>
      </c>
      <c r="C178" s="9" t="str">
        <f t="shared" si="4"/>
        <v>March</v>
      </c>
      <c r="D178" s="3" t="s">
        <v>190</v>
      </c>
      <c r="E178" s="3" t="s">
        <v>10</v>
      </c>
      <c r="F178" s="3">
        <v>45</v>
      </c>
      <c r="G178" s="8" t="str" cm="1">
        <f t="array" ref="G178">_xlfn.IFS(
    F178 &lt; 25, "Young",
    F178 &lt;= 40, "Mid-Age",
    F178 &gt; 40, "Old-Age"
)</f>
        <v>Old-Age</v>
      </c>
      <c r="H178" s="3" t="s">
        <v>11</v>
      </c>
      <c r="I178" s="3">
        <v>2</v>
      </c>
      <c r="J178" s="3">
        <v>50</v>
      </c>
      <c r="K178" s="3">
        <v>100</v>
      </c>
      <c r="L178" s="3">
        <f t="shared" si="5"/>
        <v>0.78243491918637298</v>
      </c>
    </row>
    <row r="179" spans="1:12" x14ac:dyDescent="0.3">
      <c r="A179" s="3">
        <v>178</v>
      </c>
      <c r="B179" s="4">
        <v>45203</v>
      </c>
      <c r="C179" s="9" t="str">
        <f t="shared" si="4"/>
        <v>October</v>
      </c>
      <c r="D179" s="3" t="s">
        <v>191</v>
      </c>
      <c r="E179" s="3" t="s">
        <v>10</v>
      </c>
      <c r="F179" s="3">
        <v>40</v>
      </c>
      <c r="G179" s="8" t="str" cm="1">
        <f t="array" ref="G179">_xlfn.IFS(
    F179 &lt; 25, "Young",
    F179 &lt;= 40, "Mid-Age",
    F179 &gt; 40, "Old-Age"
)</f>
        <v>Mid-Age</v>
      </c>
      <c r="H179" s="3" t="s">
        <v>14</v>
      </c>
      <c r="I179" s="3">
        <v>2</v>
      </c>
      <c r="J179" s="3">
        <v>30</v>
      </c>
      <c r="K179" s="3">
        <v>60</v>
      </c>
      <c r="L179" s="3">
        <f t="shared" si="5"/>
        <v>0.78052212131174703</v>
      </c>
    </row>
    <row r="180" spans="1:12" x14ac:dyDescent="0.3">
      <c r="A180" s="3">
        <v>179</v>
      </c>
      <c r="B180" s="4">
        <v>45198</v>
      </c>
      <c r="C180" s="9" t="str">
        <f t="shared" si="4"/>
        <v>September</v>
      </c>
      <c r="D180" s="3" t="s">
        <v>192</v>
      </c>
      <c r="E180" s="3" t="s">
        <v>10</v>
      </c>
      <c r="F180" s="3">
        <v>31</v>
      </c>
      <c r="G180" s="8" t="str" cm="1">
        <f t="array" ref="G180">_xlfn.IFS(
    F180 &lt; 25, "Young",
    F180 &lt;= 40, "Mid-Age",
    F180 &gt; 40, "Old-Age"
)</f>
        <v>Mid-Age</v>
      </c>
      <c r="H180" s="3" t="s">
        <v>16</v>
      </c>
      <c r="I180" s="3">
        <v>1</v>
      </c>
      <c r="J180" s="3">
        <v>300</v>
      </c>
      <c r="K180" s="3">
        <v>300</v>
      </c>
      <c r="L180" s="3">
        <f t="shared" si="5"/>
        <v>0.77863846542005322</v>
      </c>
    </row>
    <row r="181" spans="1:12" x14ac:dyDescent="0.3">
      <c r="A181" s="3">
        <v>180</v>
      </c>
      <c r="B181" s="4">
        <v>44927</v>
      </c>
      <c r="C181" s="9" t="str">
        <f t="shared" si="4"/>
        <v>January</v>
      </c>
      <c r="D181" s="3" t="s">
        <v>193</v>
      </c>
      <c r="E181" s="3" t="s">
        <v>10</v>
      </c>
      <c r="F181" s="3">
        <v>41</v>
      </c>
      <c r="G181" s="8" t="str" cm="1">
        <f t="array" ref="G181">_xlfn.IFS(
    F181 &lt; 25, "Young",
    F181 &lt;= 40, "Mid-Age",
    F181 &gt; 40, "Old-Age"
)</f>
        <v>Old-Age</v>
      </c>
      <c r="H181" s="3" t="s">
        <v>14</v>
      </c>
      <c r="I181" s="3">
        <v>3</v>
      </c>
      <c r="J181" s="3">
        <v>300</v>
      </c>
      <c r="K181" s="3">
        <v>900</v>
      </c>
      <c r="L181" s="3">
        <f t="shared" si="5"/>
        <v>0.78086566966782411</v>
      </c>
    </row>
    <row r="182" spans="1:12" x14ac:dyDescent="0.3">
      <c r="A182" s="3">
        <v>181</v>
      </c>
      <c r="B182" s="4">
        <v>45233</v>
      </c>
      <c r="C182" s="9" t="str">
        <f t="shared" si="4"/>
        <v>November</v>
      </c>
      <c r="D182" s="3" t="s">
        <v>194</v>
      </c>
      <c r="E182" s="3" t="s">
        <v>10</v>
      </c>
      <c r="F182" s="3">
        <v>19</v>
      </c>
      <c r="G182" s="8" t="str" cm="1">
        <f t="array" ref="G182">_xlfn.IFS(
    F182 &lt; 25, "Young",
    F182 &lt;= 40, "Mid-Age",
    F182 &gt; 40, "Old-Age"
)</f>
        <v>Young</v>
      </c>
      <c r="H182" s="3" t="s">
        <v>16</v>
      </c>
      <c r="I182" s="3">
        <v>4</v>
      </c>
      <c r="J182" s="3">
        <v>300</v>
      </c>
      <c r="K182" s="3">
        <v>1200</v>
      </c>
      <c r="L182" s="3">
        <f t="shared" si="5"/>
        <v>0.78309833958943931</v>
      </c>
    </row>
    <row r="183" spans="1:12" x14ac:dyDescent="0.3">
      <c r="A183" s="3">
        <v>182</v>
      </c>
      <c r="B183" s="4">
        <v>45092</v>
      </c>
      <c r="C183" s="9" t="str">
        <f t="shared" si="4"/>
        <v>June</v>
      </c>
      <c r="D183" s="3" t="s">
        <v>195</v>
      </c>
      <c r="E183" s="3" t="s">
        <v>10</v>
      </c>
      <c r="F183" s="3">
        <v>62</v>
      </c>
      <c r="G183" s="8" t="str" cm="1">
        <f t="array" ref="G183">_xlfn.IFS(
    F183 &lt; 25, "Young",
    F183 &lt;= 40, "Mid-Age",
    F183 &gt; 40, "Old-Age"
)</f>
        <v>Old-Age</v>
      </c>
      <c r="H183" s="3" t="s">
        <v>11</v>
      </c>
      <c r="I183" s="3">
        <v>4</v>
      </c>
      <c r="J183" s="3">
        <v>30</v>
      </c>
      <c r="K183" s="3">
        <v>120</v>
      </c>
      <c r="L183" s="3">
        <f t="shared" si="5"/>
        <v>0.78533650139314326</v>
      </c>
    </row>
    <row r="184" spans="1:12" x14ac:dyDescent="0.3">
      <c r="A184" s="3">
        <v>183</v>
      </c>
      <c r="B184" s="4">
        <v>45177</v>
      </c>
      <c r="C184" s="9" t="str">
        <f t="shared" si="4"/>
        <v>September</v>
      </c>
      <c r="D184" s="3" t="s">
        <v>196</v>
      </c>
      <c r="E184" s="3" t="s">
        <v>13</v>
      </c>
      <c r="F184" s="3">
        <v>43</v>
      </c>
      <c r="G184" s="8" t="str" cm="1">
        <f t="array" ref="G184">_xlfn.IFS(
    F184 &lt; 25, "Young",
    F184 &lt;= 40, "Mid-Age",
    F184 &gt; 40, "Old-Age"
)</f>
        <v>Old-Age</v>
      </c>
      <c r="H184" s="3" t="s">
        <v>11</v>
      </c>
      <c r="I184" s="3">
        <v>3</v>
      </c>
      <c r="J184" s="3">
        <v>300</v>
      </c>
      <c r="K184" s="3">
        <v>900</v>
      </c>
      <c r="L184" s="3">
        <f t="shared" si="5"/>
        <v>0.78344414753789915</v>
      </c>
    </row>
    <row r="185" spans="1:12" x14ac:dyDescent="0.3">
      <c r="A185" s="3">
        <v>184</v>
      </c>
      <c r="B185" s="4">
        <v>44936</v>
      </c>
      <c r="C185" s="9" t="str">
        <f t="shared" si="4"/>
        <v>January</v>
      </c>
      <c r="D185" s="3" t="s">
        <v>197</v>
      </c>
      <c r="E185" s="3" t="s">
        <v>10</v>
      </c>
      <c r="F185" s="3">
        <v>31</v>
      </c>
      <c r="G185" s="8" t="str" cm="1">
        <f t="array" ref="G185">_xlfn.IFS(
    F185 &lt; 25, "Young",
    F185 &lt;= 40, "Mid-Age",
    F185 &gt; 40, "Old-Age"
)</f>
        <v>Mid-Age</v>
      </c>
      <c r="H185" s="3" t="s">
        <v>16</v>
      </c>
      <c r="I185" s="3">
        <v>4</v>
      </c>
      <c r="J185" s="3">
        <v>50</v>
      </c>
      <c r="K185" s="3">
        <v>200</v>
      </c>
      <c r="L185" s="3">
        <f t="shared" si="5"/>
        <v>0.78568580118044162</v>
      </c>
    </row>
    <row r="186" spans="1:12" x14ac:dyDescent="0.3">
      <c r="A186" s="3">
        <v>185</v>
      </c>
      <c r="B186" s="4">
        <v>44984</v>
      </c>
      <c r="C186" s="9" t="str">
        <f t="shared" si="4"/>
        <v>February</v>
      </c>
      <c r="D186" s="3" t="s">
        <v>198</v>
      </c>
      <c r="E186" s="3" t="s">
        <v>10</v>
      </c>
      <c r="F186" s="3">
        <v>24</v>
      </c>
      <c r="G186" s="8" t="str" cm="1">
        <f t="array" ref="G186">_xlfn.IFS(
    F186 &lt; 25, "Young",
    F186 &lt;= 40, "Mid-Age",
    F186 &gt; 40, "Old-Age"
)</f>
        <v>Young</v>
      </c>
      <c r="H186" s="3" t="s">
        <v>14</v>
      </c>
      <c r="I186" s="3">
        <v>1</v>
      </c>
      <c r="J186" s="3">
        <v>25</v>
      </c>
      <c r="K186" s="3">
        <v>25</v>
      </c>
      <c r="L186" s="3">
        <f t="shared" si="5"/>
        <v>0.78375751474095368</v>
      </c>
    </row>
    <row r="187" spans="1:12" x14ac:dyDescent="0.3">
      <c r="A187" s="3">
        <v>186</v>
      </c>
      <c r="B187" s="4">
        <v>45112</v>
      </c>
      <c r="C187" s="9" t="str">
        <f t="shared" si="4"/>
        <v>July</v>
      </c>
      <c r="D187" s="3" t="s">
        <v>199</v>
      </c>
      <c r="E187" s="3" t="s">
        <v>10</v>
      </c>
      <c r="F187" s="3">
        <v>20</v>
      </c>
      <c r="G187" s="8" t="str" cm="1">
        <f t="array" ref="G187">_xlfn.IFS(
    F187 &lt; 25, "Young",
    F187 &lt;= 40, "Mid-Age",
    F187 &gt; 40, "Old-Age"
)</f>
        <v>Young</v>
      </c>
      <c r="H187" s="3" t="s">
        <v>14</v>
      </c>
      <c r="I187" s="3">
        <v>4</v>
      </c>
      <c r="J187" s="3">
        <v>50</v>
      </c>
      <c r="K187" s="3">
        <v>200</v>
      </c>
      <c r="L187" s="3">
        <f t="shared" si="5"/>
        <v>0.78188022191880291</v>
      </c>
    </row>
    <row r="188" spans="1:12" x14ac:dyDescent="0.3">
      <c r="A188" s="3">
        <v>187</v>
      </c>
      <c r="B188" s="4">
        <v>45084</v>
      </c>
      <c r="C188" s="9" t="str">
        <f t="shared" si="4"/>
        <v>June</v>
      </c>
      <c r="D188" s="3" t="s">
        <v>200</v>
      </c>
      <c r="E188" s="3" t="s">
        <v>13</v>
      </c>
      <c r="F188" s="3">
        <v>64</v>
      </c>
      <c r="G188" s="8" t="str" cm="1">
        <f t="array" ref="G188">_xlfn.IFS(
    F188 &lt; 25, "Young",
    F188 &lt;= 40, "Mid-Age",
    F188 &gt; 40, "Old-Age"
)</f>
        <v>Old-Age</v>
      </c>
      <c r="H188" s="3" t="s">
        <v>14</v>
      </c>
      <c r="I188" s="3">
        <v>2</v>
      </c>
      <c r="J188" s="3">
        <v>50</v>
      </c>
      <c r="K188" s="3">
        <v>100</v>
      </c>
      <c r="L188" s="3">
        <f t="shared" si="5"/>
        <v>0.7799462244788532</v>
      </c>
    </row>
    <row r="189" spans="1:12" x14ac:dyDescent="0.3">
      <c r="A189" s="3">
        <v>188</v>
      </c>
      <c r="B189" s="4">
        <v>45049</v>
      </c>
      <c r="C189" s="9" t="str">
        <f t="shared" si="4"/>
        <v>May</v>
      </c>
      <c r="D189" s="3" t="s">
        <v>201</v>
      </c>
      <c r="E189" s="3" t="s">
        <v>10</v>
      </c>
      <c r="F189" s="3">
        <v>40</v>
      </c>
      <c r="G189" s="8" t="str" cm="1">
        <f t="array" ref="G189">_xlfn.IFS(
    F189 &lt; 25, "Young",
    F189 &lt;= 40, "Mid-Age",
    F189 &gt; 40, "Old-Age"
)</f>
        <v>Mid-Age</v>
      </c>
      <c r="H189" s="3" t="s">
        <v>14</v>
      </c>
      <c r="I189" s="3">
        <v>3</v>
      </c>
      <c r="J189" s="3">
        <v>25</v>
      </c>
      <c r="K189" s="3">
        <v>75</v>
      </c>
      <c r="L189" s="3">
        <f t="shared" si="5"/>
        <v>0.77800936622525585</v>
      </c>
    </row>
    <row r="190" spans="1:12" x14ac:dyDescent="0.3">
      <c r="A190" s="3">
        <v>189</v>
      </c>
      <c r="B190" s="4">
        <v>44956</v>
      </c>
      <c r="C190" s="9" t="str">
        <f t="shared" si="4"/>
        <v>January</v>
      </c>
      <c r="D190" s="3" t="s">
        <v>202</v>
      </c>
      <c r="E190" s="3" t="s">
        <v>10</v>
      </c>
      <c r="F190" s="3">
        <v>63</v>
      </c>
      <c r="G190" s="8" t="str" cm="1">
        <f t="array" ref="G190">_xlfn.IFS(
    F190 &lt; 25, "Young",
    F190 &lt;= 40, "Mid-Age",
    F190 &gt; 40, "Old-Age"
)</f>
        <v>Old-Age</v>
      </c>
      <c r="H190" s="3" t="s">
        <v>11</v>
      </c>
      <c r="I190" s="3">
        <v>1</v>
      </c>
      <c r="J190" s="3">
        <v>50</v>
      </c>
      <c r="K190" s="3">
        <v>50</v>
      </c>
      <c r="L190" s="3">
        <f t="shared" si="5"/>
        <v>0.77612370818999465</v>
      </c>
    </row>
    <row r="191" spans="1:12" x14ac:dyDescent="0.3">
      <c r="A191" s="3">
        <v>190</v>
      </c>
      <c r="B191" s="4">
        <v>45050</v>
      </c>
      <c r="C191" s="9" t="str">
        <f t="shared" si="4"/>
        <v>May</v>
      </c>
      <c r="D191" s="3" t="s">
        <v>203</v>
      </c>
      <c r="E191" s="3" t="s">
        <v>13</v>
      </c>
      <c r="F191" s="3">
        <v>60</v>
      </c>
      <c r="G191" s="8" t="str" cm="1">
        <f t="array" ref="G191">_xlfn.IFS(
    F191 &lt; 25, "Young",
    F191 &lt;= 40, "Mid-Age",
    F191 &gt; 40, "Old-Age"
)</f>
        <v>Old-Age</v>
      </c>
      <c r="H191" s="3" t="s">
        <v>11</v>
      </c>
      <c r="I191" s="3">
        <v>3</v>
      </c>
      <c r="J191" s="3">
        <v>30</v>
      </c>
      <c r="K191" s="3">
        <v>90</v>
      </c>
      <c r="L191" s="3">
        <f t="shared" si="5"/>
        <v>0.7741810748156811</v>
      </c>
    </row>
    <row r="192" spans="1:12" x14ac:dyDescent="0.3">
      <c r="A192" s="3">
        <v>191</v>
      </c>
      <c r="B192" s="4">
        <v>45217</v>
      </c>
      <c r="C192" s="9" t="str">
        <f t="shared" si="4"/>
        <v>October</v>
      </c>
      <c r="D192" s="3" t="s">
        <v>204</v>
      </c>
      <c r="E192" s="3" t="s">
        <v>10</v>
      </c>
      <c r="F192" s="3">
        <v>64</v>
      </c>
      <c r="G192" s="8" t="str" cm="1">
        <f t="array" ref="G192">_xlfn.IFS(
    F192 &lt; 25, "Young",
    F192 &lt;= 40, "Mid-Age",
    F192 &gt; 40, "Old-Age"
)</f>
        <v>Old-Age</v>
      </c>
      <c r="H192" s="3" t="s">
        <v>11</v>
      </c>
      <c r="I192" s="3">
        <v>1</v>
      </c>
      <c r="J192" s="3">
        <v>25</v>
      </c>
      <c r="K192" s="3">
        <v>25</v>
      </c>
      <c r="L192" s="3">
        <f t="shared" si="5"/>
        <v>0.77226712765049443</v>
      </c>
    </row>
    <row r="193" spans="1:12" x14ac:dyDescent="0.3">
      <c r="A193" s="3">
        <v>192</v>
      </c>
      <c r="B193" s="4">
        <v>44967</v>
      </c>
      <c r="C193" s="9" t="str">
        <f t="shared" si="4"/>
        <v>February</v>
      </c>
      <c r="D193" s="3" t="s">
        <v>205</v>
      </c>
      <c r="E193" s="3" t="s">
        <v>10</v>
      </c>
      <c r="F193" s="3">
        <v>62</v>
      </c>
      <c r="G193" s="8" t="str" cm="1">
        <f t="array" ref="G193">_xlfn.IFS(
    F193 &lt; 25, "Young",
    F193 &lt;= 40, "Mid-Age",
    F193 &gt; 40, "Old-Age"
)</f>
        <v>Old-Age</v>
      </c>
      <c r="H193" s="3" t="s">
        <v>11</v>
      </c>
      <c r="I193" s="3">
        <v>2</v>
      </c>
      <c r="J193" s="3">
        <v>50</v>
      </c>
      <c r="K193" s="3">
        <v>100</v>
      </c>
      <c r="L193" s="3">
        <f t="shared" si="5"/>
        <v>0.7703732307855734</v>
      </c>
    </row>
    <row r="194" spans="1:12" x14ac:dyDescent="0.3">
      <c r="A194" s="3">
        <v>193</v>
      </c>
      <c r="B194" s="4">
        <v>44970</v>
      </c>
      <c r="C194" s="9" t="str">
        <f t="shared" ref="C194:C257" si="6">TEXT(B194,"mmmm")</f>
        <v>February</v>
      </c>
      <c r="D194" s="3" t="s">
        <v>206</v>
      </c>
      <c r="E194" s="3" t="s">
        <v>10</v>
      </c>
      <c r="F194" s="3">
        <v>35</v>
      </c>
      <c r="G194" s="8" t="str" cm="1">
        <f t="array" ref="G194">_xlfn.IFS(
    F194 &lt; 25, "Young",
    F194 &lt;= 40, "Mid-Age",
    F194 &gt; 40, "Old-Age"
)</f>
        <v>Mid-Age</v>
      </c>
      <c r="H194" s="3" t="s">
        <v>11</v>
      </c>
      <c r="I194" s="3">
        <v>3</v>
      </c>
      <c r="J194" s="3">
        <v>500</v>
      </c>
      <c r="K194" s="3">
        <v>1500</v>
      </c>
      <c r="L194" s="3">
        <f t="shared" ref="L194:L257" si="7">SKEW(J194:J1193)</f>
        <v>0.76842184517832324</v>
      </c>
    </row>
    <row r="195" spans="1:12" x14ac:dyDescent="0.3">
      <c r="A195" s="3">
        <v>194</v>
      </c>
      <c r="B195" s="4">
        <v>45175</v>
      </c>
      <c r="C195" s="9" t="str">
        <f t="shared" si="6"/>
        <v>September</v>
      </c>
      <c r="D195" s="3" t="s">
        <v>207</v>
      </c>
      <c r="E195" s="3" t="s">
        <v>10</v>
      </c>
      <c r="F195" s="3">
        <v>55</v>
      </c>
      <c r="G195" s="8" t="str" cm="1">
        <f t="array" ref="G195">_xlfn.IFS(
    F195 &lt; 25, "Young",
    F195 &lt;= 40, "Mid-Age",
    F195 &gt; 40, "Old-Age"
)</f>
        <v>Old-Age</v>
      </c>
      <c r="H195" s="3" t="s">
        <v>14</v>
      </c>
      <c r="I195" s="3">
        <v>4</v>
      </c>
      <c r="J195" s="3">
        <v>50</v>
      </c>
      <c r="K195" s="3">
        <v>200</v>
      </c>
      <c r="L195" s="3">
        <f t="shared" si="7"/>
        <v>0.77227268724644837</v>
      </c>
    </row>
    <row r="196" spans="1:12" x14ac:dyDescent="0.3">
      <c r="A196" s="3">
        <v>195</v>
      </c>
      <c r="B196" s="4">
        <v>44962</v>
      </c>
      <c r="C196" s="9" t="str">
        <f t="shared" si="6"/>
        <v>February</v>
      </c>
      <c r="D196" s="3" t="s">
        <v>208</v>
      </c>
      <c r="E196" s="3" t="s">
        <v>10</v>
      </c>
      <c r="F196" s="3">
        <v>52</v>
      </c>
      <c r="G196" s="8" t="str" cm="1">
        <f t="array" ref="G196">_xlfn.IFS(
    F196 &lt; 25, "Young",
    F196 &lt;= 40, "Mid-Age",
    F196 &gt; 40, "Old-Age"
)</f>
        <v>Old-Age</v>
      </c>
      <c r="H196" s="3" t="s">
        <v>14</v>
      </c>
      <c r="I196" s="3">
        <v>1</v>
      </c>
      <c r="J196" s="3">
        <v>30</v>
      </c>
      <c r="K196" s="3">
        <v>30</v>
      </c>
      <c r="L196" s="3">
        <f t="shared" si="7"/>
        <v>0.77031696471476074</v>
      </c>
    </row>
    <row r="197" spans="1:12" x14ac:dyDescent="0.3">
      <c r="A197" s="3">
        <v>196</v>
      </c>
      <c r="B197" s="4">
        <v>45199</v>
      </c>
      <c r="C197" s="9" t="str">
        <f t="shared" si="6"/>
        <v>September</v>
      </c>
      <c r="D197" s="3" t="s">
        <v>209</v>
      </c>
      <c r="E197" s="3" t="s">
        <v>13</v>
      </c>
      <c r="F197" s="3">
        <v>32</v>
      </c>
      <c r="G197" s="8" t="str" cm="1">
        <f t="array" ref="G197">_xlfn.IFS(
    F197 &lt; 25, "Young",
    F197 &lt;= 40, "Mid-Age",
    F197 &gt; 40, "Old-Age"
)</f>
        <v>Mid-Age</v>
      </c>
      <c r="H197" s="3" t="s">
        <v>14</v>
      </c>
      <c r="I197" s="3">
        <v>3</v>
      </c>
      <c r="J197" s="3">
        <v>300</v>
      </c>
      <c r="K197" s="3">
        <v>900</v>
      </c>
      <c r="L197" s="3">
        <f t="shared" si="7"/>
        <v>0.76839031691985893</v>
      </c>
    </row>
    <row r="198" spans="1:12" x14ac:dyDescent="0.3">
      <c r="A198" s="3">
        <v>197</v>
      </c>
      <c r="B198" s="4">
        <v>44991</v>
      </c>
      <c r="C198" s="9" t="str">
        <f t="shared" si="6"/>
        <v>March</v>
      </c>
      <c r="D198" s="3" t="s">
        <v>210</v>
      </c>
      <c r="E198" s="3" t="s">
        <v>13</v>
      </c>
      <c r="F198" s="3">
        <v>42</v>
      </c>
      <c r="G198" s="8" t="str" cm="1">
        <f t="array" ref="G198">_xlfn.IFS(
    F198 &lt; 25, "Young",
    F198 &lt;= 40, "Mid-Age",
    F198 &gt; 40, "Old-Age"
)</f>
        <v>Old-Age</v>
      </c>
      <c r="H198" s="3" t="s">
        <v>14</v>
      </c>
      <c r="I198" s="3">
        <v>4</v>
      </c>
      <c r="J198" s="3">
        <v>50</v>
      </c>
      <c r="K198" s="3">
        <v>200</v>
      </c>
      <c r="L198" s="3">
        <f t="shared" si="7"/>
        <v>0.770631515241333</v>
      </c>
    </row>
    <row r="199" spans="1:12" x14ac:dyDescent="0.3">
      <c r="A199" s="3">
        <v>198</v>
      </c>
      <c r="B199" s="4">
        <v>44992</v>
      </c>
      <c r="C199" s="9" t="str">
        <f t="shared" si="6"/>
        <v>March</v>
      </c>
      <c r="D199" s="3" t="s">
        <v>211</v>
      </c>
      <c r="E199" s="3" t="s">
        <v>13</v>
      </c>
      <c r="F199" s="3">
        <v>54</v>
      </c>
      <c r="G199" s="8" t="str" cm="1">
        <f t="array" ref="G199">_xlfn.IFS(
    F199 &lt; 25, "Young",
    F199 &lt;= 40, "Mid-Age",
    F199 &gt; 40, "Old-Age"
)</f>
        <v>Old-Age</v>
      </c>
      <c r="H199" s="3" t="s">
        <v>11</v>
      </c>
      <c r="I199" s="3">
        <v>3</v>
      </c>
      <c r="J199" s="3">
        <v>300</v>
      </c>
      <c r="K199" s="3">
        <v>900</v>
      </c>
      <c r="L199" s="3">
        <f t="shared" si="7"/>
        <v>0.76866807654806746</v>
      </c>
    </row>
    <row r="200" spans="1:12" x14ac:dyDescent="0.3">
      <c r="A200" s="3">
        <v>199</v>
      </c>
      <c r="B200" s="4">
        <v>45264</v>
      </c>
      <c r="C200" s="9" t="str">
        <f t="shared" si="6"/>
        <v>December</v>
      </c>
      <c r="D200" s="3" t="s">
        <v>212</v>
      </c>
      <c r="E200" s="3" t="s">
        <v>10</v>
      </c>
      <c r="F200" s="3">
        <v>45</v>
      </c>
      <c r="G200" s="8" t="str" cm="1">
        <f t="array" ref="G200">_xlfn.IFS(
    F200 &lt; 25, "Young",
    F200 &lt;= 40, "Mid-Age",
    F200 &gt; 40, "Old-Age"
)</f>
        <v>Old-Age</v>
      </c>
      <c r="H200" s="3" t="s">
        <v>11</v>
      </c>
      <c r="I200" s="3">
        <v>3</v>
      </c>
      <c r="J200" s="3">
        <v>500</v>
      </c>
      <c r="K200" s="3">
        <v>1500</v>
      </c>
      <c r="L200" s="3">
        <f t="shared" si="7"/>
        <v>0.7709130151552831</v>
      </c>
    </row>
    <row r="201" spans="1:12" x14ac:dyDescent="0.3">
      <c r="A201" s="3">
        <v>200</v>
      </c>
      <c r="B201" s="4">
        <v>45170</v>
      </c>
      <c r="C201" s="9" t="str">
        <f t="shared" si="6"/>
        <v>September</v>
      </c>
      <c r="D201" s="3" t="s">
        <v>213</v>
      </c>
      <c r="E201" s="3" t="s">
        <v>10</v>
      </c>
      <c r="F201" s="3">
        <v>27</v>
      </c>
      <c r="G201" s="8" t="str" cm="1">
        <f t="array" ref="G201">_xlfn.IFS(
    F201 &lt; 25, "Young",
    F201 &lt;= 40, "Mid-Age",
    F201 &gt; 40, "Old-Age"
)</f>
        <v>Mid-Age</v>
      </c>
      <c r="H201" s="3" t="s">
        <v>11</v>
      </c>
      <c r="I201" s="3">
        <v>3</v>
      </c>
      <c r="J201" s="3">
        <v>50</v>
      </c>
      <c r="K201" s="3">
        <v>150</v>
      </c>
      <c r="L201" s="3">
        <f t="shared" si="7"/>
        <v>0.77480405105650807</v>
      </c>
    </row>
    <row r="202" spans="1:12" x14ac:dyDescent="0.3">
      <c r="A202" s="3">
        <v>201</v>
      </c>
      <c r="B202" s="4">
        <v>45208</v>
      </c>
      <c r="C202" s="9" t="str">
        <f t="shared" si="6"/>
        <v>October</v>
      </c>
      <c r="D202" s="3" t="s">
        <v>214</v>
      </c>
      <c r="E202" s="3" t="s">
        <v>10</v>
      </c>
      <c r="F202" s="3">
        <v>56</v>
      </c>
      <c r="G202" s="8" t="str" cm="1">
        <f t="array" ref="G202">_xlfn.IFS(
    F202 &lt; 25, "Young",
    F202 &lt;= 40, "Mid-Age",
    F202 &gt; 40, "Old-Age"
)</f>
        <v>Old-Age</v>
      </c>
      <c r="H202" s="3" t="s">
        <v>16</v>
      </c>
      <c r="I202" s="3">
        <v>1</v>
      </c>
      <c r="J202" s="3">
        <v>25</v>
      </c>
      <c r="K202" s="3">
        <v>25</v>
      </c>
      <c r="L202" s="3">
        <f t="shared" si="7"/>
        <v>0.77283439405401799</v>
      </c>
    </row>
    <row r="203" spans="1:12" x14ac:dyDescent="0.3">
      <c r="A203" s="3">
        <v>202</v>
      </c>
      <c r="B203" s="4">
        <v>45011</v>
      </c>
      <c r="C203" s="9" t="str">
        <f t="shared" si="6"/>
        <v>March</v>
      </c>
      <c r="D203" s="3" t="s">
        <v>215</v>
      </c>
      <c r="E203" s="3" t="s">
        <v>13</v>
      </c>
      <c r="F203" s="3">
        <v>34</v>
      </c>
      <c r="G203" s="8" t="str" cm="1">
        <f t="array" ref="G203">_xlfn.IFS(
    F203 &lt; 25, "Young",
    F203 &lt;= 40, "Mid-Age",
    F203 &gt; 40, "Old-Age"
)</f>
        <v>Mid-Age</v>
      </c>
      <c r="H203" s="3" t="s">
        <v>14</v>
      </c>
      <c r="I203" s="3">
        <v>4</v>
      </c>
      <c r="J203" s="3">
        <v>300</v>
      </c>
      <c r="K203" s="3">
        <v>1200</v>
      </c>
      <c r="L203" s="3">
        <f t="shared" si="7"/>
        <v>0.7709164032368675</v>
      </c>
    </row>
    <row r="204" spans="1:12" x14ac:dyDescent="0.3">
      <c r="A204" s="3">
        <v>203</v>
      </c>
      <c r="B204" s="4">
        <v>45062</v>
      </c>
      <c r="C204" s="9" t="str">
        <f t="shared" si="6"/>
        <v>May</v>
      </c>
      <c r="D204" s="3" t="s">
        <v>216</v>
      </c>
      <c r="E204" s="3" t="s">
        <v>10</v>
      </c>
      <c r="F204" s="3">
        <v>56</v>
      </c>
      <c r="G204" s="8" t="str" cm="1">
        <f t="array" ref="G204">_xlfn.IFS(
    F204 &lt; 25, "Young",
    F204 &lt;= 40, "Mid-Age",
    F204 &gt; 40, "Old-Age"
)</f>
        <v>Old-Age</v>
      </c>
      <c r="H204" s="3" t="s">
        <v>14</v>
      </c>
      <c r="I204" s="3">
        <v>2</v>
      </c>
      <c r="J204" s="3">
        <v>500</v>
      </c>
      <c r="K204" s="3">
        <v>1000</v>
      </c>
      <c r="L204" s="3">
        <f t="shared" si="7"/>
        <v>0.7731783735742177</v>
      </c>
    </row>
    <row r="205" spans="1:12" x14ac:dyDescent="0.3">
      <c r="A205" s="3">
        <v>204</v>
      </c>
      <c r="B205" s="4">
        <v>45197</v>
      </c>
      <c r="C205" s="9" t="str">
        <f t="shared" si="6"/>
        <v>September</v>
      </c>
      <c r="D205" s="3" t="s">
        <v>217</v>
      </c>
      <c r="E205" s="3" t="s">
        <v>10</v>
      </c>
      <c r="F205" s="3">
        <v>39</v>
      </c>
      <c r="G205" s="8" t="str" cm="1">
        <f t="array" ref="G205">_xlfn.IFS(
    F205 &lt; 25, "Young",
    F205 &lt;= 40, "Mid-Age",
    F205 &gt; 40, "Old-Age"
)</f>
        <v>Mid-Age</v>
      </c>
      <c r="H205" s="3" t="s">
        <v>11</v>
      </c>
      <c r="I205" s="3">
        <v>1</v>
      </c>
      <c r="J205" s="3">
        <v>25</v>
      </c>
      <c r="K205" s="3">
        <v>25</v>
      </c>
      <c r="L205" s="3">
        <f t="shared" si="7"/>
        <v>0.77709627527772385</v>
      </c>
    </row>
    <row r="206" spans="1:12" x14ac:dyDescent="0.3">
      <c r="A206" s="3">
        <v>205</v>
      </c>
      <c r="B206" s="4">
        <v>45237</v>
      </c>
      <c r="C206" s="9" t="str">
        <f t="shared" si="6"/>
        <v>November</v>
      </c>
      <c r="D206" s="3" t="s">
        <v>218</v>
      </c>
      <c r="E206" s="3" t="s">
        <v>13</v>
      </c>
      <c r="F206" s="3">
        <v>43</v>
      </c>
      <c r="G206" s="8" t="str" cm="1">
        <f t="array" ref="G206">_xlfn.IFS(
    F206 &lt; 25, "Young",
    F206 &lt;= 40, "Mid-Age",
    F206 &gt; 40, "Old-Age"
)</f>
        <v>Old-Age</v>
      </c>
      <c r="H206" s="3" t="s">
        <v>14</v>
      </c>
      <c r="I206" s="3">
        <v>1</v>
      </c>
      <c r="J206" s="3">
        <v>25</v>
      </c>
      <c r="K206" s="3">
        <v>25</v>
      </c>
      <c r="L206" s="3">
        <f t="shared" si="7"/>
        <v>0.77517210103803502</v>
      </c>
    </row>
    <row r="207" spans="1:12" x14ac:dyDescent="0.3">
      <c r="A207" s="3">
        <v>206</v>
      </c>
      <c r="B207" s="4">
        <v>45143</v>
      </c>
      <c r="C207" s="9" t="str">
        <f t="shared" si="6"/>
        <v>August</v>
      </c>
      <c r="D207" s="3" t="s">
        <v>219</v>
      </c>
      <c r="E207" s="3" t="s">
        <v>10</v>
      </c>
      <c r="F207" s="3">
        <v>61</v>
      </c>
      <c r="G207" s="8" t="str" cm="1">
        <f t="array" ref="G207">_xlfn.IFS(
    F207 &lt; 25, "Young",
    F207 &lt;= 40, "Mid-Age",
    F207 &gt; 40, "Old-Age"
)</f>
        <v>Old-Age</v>
      </c>
      <c r="H207" s="3" t="s">
        <v>14</v>
      </c>
      <c r="I207" s="3">
        <v>1</v>
      </c>
      <c r="J207" s="3">
        <v>25</v>
      </c>
      <c r="K207" s="3">
        <v>25</v>
      </c>
      <c r="L207" s="3">
        <f t="shared" si="7"/>
        <v>0.77324519644602896</v>
      </c>
    </row>
    <row r="208" spans="1:12" x14ac:dyDescent="0.3">
      <c r="A208" s="3">
        <v>207</v>
      </c>
      <c r="B208" s="4">
        <v>45035</v>
      </c>
      <c r="C208" s="9" t="str">
        <f t="shared" si="6"/>
        <v>April</v>
      </c>
      <c r="D208" s="3" t="s">
        <v>220</v>
      </c>
      <c r="E208" s="3" t="s">
        <v>13</v>
      </c>
      <c r="F208" s="3">
        <v>42</v>
      </c>
      <c r="G208" s="8" t="str" cm="1">
        <f t="array" ref="G208">_xlfn.IFS(
    F208 &lt; 25, "Young",
    F208 &lt;= 40, "Mid-Age",
    F208 &gt; 40, "Old-Age"
)</f>
        <v>Old-Age</v>
      </c>
      <c r="H208" s="3" t="s">
        <v>11</v>
      </c>
      <c r="I208" s="3">
        <v>2</v>
      </c>
      <c r="J208" s="3">
        <v>25</v>
      </c>
      <c r="K208" s="3">
        <v>50</v>
      </c>
      <c r="L208" s="3">
        <f t="shared" si="7"/>
        <v>0.77131555203932678</v>
      </c>
    </row>
    <row r="209" spans="1:12" x14ac:dyDescent="0.3">
      <c r="A209" s="3">
        <v>208</v>
      </c>
      <c r="B209" s="4">
        <v>45203</v>
      </c>
      <c r="C209" s="9" t="str">
        <f t="shared" si="6"/>
        <v>October</v>
      </c>
      <c r="D209" s="3" t="s">
        <v>221</v>
      </c>
      <c r="E209" s="3" t="s">
        <v>13</v>
      </c>
      <c r="F209" s="3">
        <v>34</v>
      </c>
      <c r="G209" s="8" t="str" cm="1">
        <f t="array" ref="G209">_xlfn.IFS(
    F209 &lt; 25, "Young",
    F209 &lt;= 40, "Mid-Age",
    F209 &gt; 40, "Old-Age"
)</f>
        <v>Mid-Age</v>
      </c>
      <c r="H209" s="3" t="s">
        <v>16</v>
      </c>
      <c r="I209" s="3">
        <v>4</v>
      </c>
      <c r="J209" s="3">
        <v>50</v>
      </c>
      <c r="K209" s="3">
        <v>200</v>
      </c>
      <c r="L209" s="3">
        <f t="shared" si="7"/>
        <v>0.76938315830833182</v>
      </c>
    </row>
    <row r="210" spans="1:12" x14ac:dyDescent="0.3">
      <c r="A210" s="3">
        <v>209</v>
      </c>
      <c r="B210" s="4">
        <v>45280</v>
      </c>
      <c r="C210" s="9" t="str">
        <f t="shared" si="6"/>
        <v>December</v>
      </c>
      <c r="D210" s="3" t="s">
        <v>222</v>
      </c>
      <c r="E210" s="3" t="s">
        <v>13</v>
      </c>
      <c r="F210" s="3">
        <v>30</v>
      </c>
      <c r="G210" s="8" t="str" cm="1">
        <f t="array" ref="G210">_xlfn.IFS(
    F210 &lt; 25, "Young",
    F210 &lt;= 40, "Mid-Age",
    F210 &gt; 40, "Old-Age"
)</f>
        <v>Mid-Age</v>
      </c>
      <c r="H210" s="3" t="s">
        <v>16</v>
      </c>
      <c r="I210" s="3">
        <v>4</v>
      </c>
      <c r="J210" s="3">
        <v>50</v>
      </c>
      <c r="K210" s="3">
        <v>200</v>
      </c>
      <c r="L210" s="3">
        <f t="shared" si="7"/>
        <v>0.76739205833717994</v>
      </c>
    </row>
    <row r="211" spans="1:12" x14ac:dyDescent="0.3">
      <c r="A211" s="3">
        <v>210</v>
      </c>
      <c r="B211" s="4">
        <v>45029</v>
      </c>
      <c r="C211" s="9" t="str">
        <f t="shared" si="6"/>
        <v>April</v>
      </c>
      <c r="D211" s="3" t="s">
        <v>223</v>
      </c>
      <c r="E211" s="3" t="s">
        <v>10</v>
      </c>
      <c r="F211" s="3">
        <v>37</v>
      </c>
      <c r="G211" s="8" t="str" cm="1">
        <f t="array" ref="G211">_xlfn.IFS(
    F211 &lt; 25, "Young",
    F211 &lt;= 40, "Mid-Age",
    F211 &gt; 40, "Old-Age"
)</f>
        <v>Mid-Age</v>
      </c>
      <c r="H211" s="3" t="s">
        <v>16</v>
      </c>
      <c r="I211" s="3">
        <v>4</v>
      </c>
      <c r="J211" s="3">
        <v>50</v>
      </c>
      <c r="K211" s="3">
        <v>200</v>
      </c>
      <c r="L211" s="3">
        <f t="shared" si="7"/>
        <v>0.76539790992231871</v>
      </c>
    </row>
    <row r="212" spans="1:12" x14ac:dyDescent="0.3">
      <c r="A212" s="3">
        <v>211</v>
      </c>
      <c r="B212" s="4">
        <v>45292</v>
      </c>
      <c r="C212" s="9" t="str">
        <f t="shared" si="6"/>
        <v>January</v>
      </c>
      <c r="D212" s="3" t="s">
        <v>224</v>
      </c>
      <c r="E212" s="3" t="s">
        <v>10</v>
      </c>
      <c r="F212" s="3">
        <v>42</v>
      </c>
      <c r="G212" s="8" t="str" cm="1">
        <f t="array" ref="G212">_xlfn.IFS(
    F212 &lt; 25, "Young",
    F212 &lt;= 40, "Mid-Age",
    F212 &gt; 40, "Old-Age"
)</f>
        <v>Old-Age</v>
      </c>
      <c r="H212" s="3" t="s">
        <v>11</v>
      </c>
      <c r="I212" s="3">
        <v>3</v>
      </c>
      <c r="J212" s="3">
        <v>500</v>
      </c>
      <c r="K212" s="3">
        <v>1500</v>
      </c>
      <c r="L212" s="3">
        <f t="shared" si="7"/>
        <v>0.76340070118880299</v>
      </c>
    </row>
    <row r="213" spans="1:12" x14ac:dyDescent="0.3">
      <c r="A213" s="3">
        <v>212</v>
      </c>
      <c r="B213" s="4">
        <v>45086</v>
      </c>
      <c r="C213" s="9" t="str">
        <f t="shared" si="6"/>
        <v>June</v>
      </c>
      <c r="D213" s="3" t="s">
        <v>225</v>
      </c>
      <c r="E213" s="3" t="s">
        <v>10</v>
      </c>
      <c r="F213" s="3">
        <v>21</v>
      </c>
      <c r="G213" s="8" t="str" cm="1">
        <f t="array" ref="G213">_xlfn.IFS(
    F213 &lt; 25, "Young",
    F213 &lt;= 40, "Mid-Age",
    F213 &gt; 40, "Old-Age"
)</f>
        <v>Young</v>
      </c>
      <c r="H213" s="3" t="s">
        <v>14</v>
      </c>
      <c r="I213" s="3">
        <v>3</v>
      </c>
      <c r="J213" s="3">
        <v>500</v>
      </c>
      <c r="K213" s="3">
        <v>1500</v>
      </c>
      <c r="L213" s="3">
        <f t="shared" si="7"/>
        <v>0.76732320338138371</v>
      </c>
    </row>
    <row r="214" spans="1:12" x14ac:dyDescent="0.3">
      <c r="A214" s="3">
        <v>213</v>
      </c>
      <c r="B214" s="4">
        <v>45131</v>
      </c>
      <c r="C214" s="9" t="str">
        <f t="shared" si="6"/>
        <v>July</v>
      </c>
      <c r="D214" s="3" t="s">
        <v>226</v>
      </c>
      <c r="E214" s="3" t="s">
        <v>10</v>
      </c>
      <c r="F214" s="3">
        <v>27</v>
      </c>
      <c r="G214" s="8" t="str" cm="1">
        <f t="array" ref="G214">_xlfn.IFS(
    F214 &lt; 25, "Young",
    F214 &lt;= 40, "Mid-Age",
    F214 &gt; 40, "Old-Age"
)</f>
        <v>Mid-Age</v>
      </c>
      <c r="H214" s="3" t="s">
        <v>11</v>
      </c>
      <c r="I214" s="3">
        <v>3</v>
      </c>
      <c r="J214" s="3">
        <v>500</v>
      </c>
      <c r="K214" s="3">
        <v>1500</v>
      </c>
      <c r="L214" s="3">
        <f t="shared" si="7"/>
        <v>0.77125987346586977</v>
      </c>
    </row>
    <row r="215" spans="1:12" x14ac:dyDescent="0.3">
      <c r="A215" s="3">
        <v>214</v>
      </c>
      <c r="B215" s="4">
        <v>45270</v>
      </c>
      <c r="C215" s="9" t="str">
        <f t="shared" si="6"/>
        <v>December</v>
      </c>
      <c r="D215" s="3" t="s">
        <v>227</v>
      </c>
      <c r="E215" s="3" t="s">
        <v>10</v>
      </c>
      <c r="F215" s="3">
        <v>20</v>
      </c>
      <c r="G215" s="8" t="str" cm="1">
        <f t="array" ref="G215">_xlfn.IFS(
    F215 &lt; 25, "Young",
    F215 &lt;= 40, "Mid-Age",
    F215 &gt; 40, "Old-Age"
)</f>
        <v>Young</v>
      </c>
      <c r="H215" s="3" t="s">
        <v>11</v>
      </c>
      <c r="I215" s="3">
        <v>2</v>
      </c>
      <c r="J215" s="3">
        <v>30</v>
      </c>
      <c r="K215" s="3">
        <v>60</v>
      </c>
      <c r="L215" s="3">
        <f t="shared" si="7"/>
        <v>0.77521077241385838</v>
      </c>
    </row>
    <row r="216" spans="1:12" x14ac:dyDescent="0.3">
      <c r="A216" s="3">
        <v>215</v>
      </c>
      <c r="B216" s="4">
        <v>45259</v>
      </c>
      <c r="C216" s="9" t="str">
        <f t="shared" si="6"/>
        <v>November</v>
      </c>
      <c r="D216" s="3" t="s">
        <v>228</v>
      </c>
      <c r="E216" s="3" t="s">
        <v>10</v>
      </c>
      <c r="F216" s="3">
        <v>58</v>
      </c>
      <c r="G216" s="8" t="str" cm="1">
        <f t="array" ref="G216">_xlfn.IFS(
    F216 &lt; 25, "Young",
    F216 &lt;= 40, "Mid-Age",
    F216 &gt; 40, "Old-Age"
)</f>
        <v>Old-Age</v>
      </c>
      <c r="H216" s="3" t="s">
        <v>14</v>
      </c>
      <c r="I216" s="3">
        <v>3</v>
      </c>
      <c r="J216" s="3">
        <v>500</v>
      </c>
      <c r="K216" s="3">
        <v>1500</v>
      </c>
      <c r="L216" s="3">
        <f t="shared" si="7"/>
        <v>0.77323887025053006</v>
      </c>
    </row>
    <row r="217" spans="1:12" x14ac:dyDescent="0.3">
      <c r="A217" s="3">
        <v>216</v>
      </c>
      <c r="B217" s="4">
        <v>45118</v>
      </c>
      <c r="C217" s="9" t="str">
        <f t="shared" si="6"/>
        <v>July</v>
      </c>
      <c r="D217" s="3" t="s">
        <v>229</v>
      </c>
      <c r="E217" s="3" t="s">
        <v>10</v>
      </c>
      <c r="F217" s="3">
        <v>62</v>
      </c>
      <c r="G217" s="8" t="str" cm="1">
        <f t="array" ref="G217">_xlfn.IFS(
    F217 &lt; 25, "Young",
    F217 &lt;= 40, "Mid-Age",
    F217 &gt; 40, "Old-Age"
)</f>
        <v>Old-Age</v>
      </c>
      <c r="H217" s="3" t="s">
        <v>16</v>
      </c>
      <c r="I217" s="3">
        <v>2</v>
      </c>
      <c r="J217" s="3">
        <v>50</v>
      </c>
      <c r="K217" s="3">
        <v>100</v>
      </c>
      <c r="L217" s="3">
        <f t="shared" si="7"/>
        <v>0.77720263906037768</v>
      </c>
    </row>
    <row r="218" spans="1:12" x14ac:dyDescent="0.3">
      <c r="A218" s="3">
        <v>217</v>
      </c>
      <c r="B218" s="4">
        <v>45151</v>
      </c>
      <c r="C218" s="9" t="str">
        <f t="shared" si="6"/>
        <v>August</v>
      </c>
      <c r="D218" s="3" t="s">
        <v>230</v>
      </c>
      <c r="E218" s="3" t="s">
        <v>13</v>
      </c>
      <c r="F218" s="3">
        <v>35</v>
      </c>
      <c r="G218" s="8" t="str" cm="1">
        <f t="array" ref="G218">_xlfn.IFS(
    F218 &lt; 25, "Young",
    F218 &lt;= 40, "Mid-Age",
    F218 &gt; 40, "Old-Age"
)</f>
        <v>Mid-Age</v>
      </c>
      <c r="H218" s="3" t="s">
        <v>16</v>
      </c>
      <c r="I218" s="3">
        <v>4</v>
      </c>
      <c r="J218" s="3">
        <v>50</v>
      </c>
      <c r="K218" s="3">
        <v>200</v>
      </c>
      <c r="L218" s="3">
        <f t="shared" si="7"/>
        <v>0.77519332002895591</v>
      </c>
    </row>
    <row r="219" spans="1:12" x14ac:dyDescent="0.3">
      <c r="A219" s="3">
        <v>218</v>
      </c>
      <c r="B219" s="4">
        <v>45191</v>
      </c>
      <c r="C219" s="9" t="str">
        <f t="shared" si="6"/>
        <v>September</v>
      </c>
      <c r="D219" s="3" t="s">
        <v>231</v>
      </c>
      <c r="E219" s="3" t="s">
        <v>10</v>
      </c>
      <c r="F219" s="3">
        <v>64</v>
      </c>
      <c r="G219" s="8" t="str" cm="1">
        <f t="array" ref="G219">_xlfn.IFS(
    F219 &lt; 25, "Young",
    F219 &lt;= 40, "Mid-Age",
    F219 &gt; 40, "Old-Age"
)</f>
        <v>Old-Age</v>
      </c>
      <c r="H219" s="3" t="s">
        <v>11</v>
      </c>
      <c r="I219" s="3">
        <v>3</v>
      </c>
      <c r="J219" s="3">
        <v>30</v>
      </c>
      <c r="K219" s="3">
        <v>90</v>
      </c>
      <c r="L219" s="3">
        <f t="shared" si="7"/>
        <v>0.77318090643832549</v>
      </c>
    </row>
    <row r="220" spans="1:12" x14ac:dyDescent="0.3">
      <c r="A220" s="3">
        <v>219</v>
      </c>
      <c r="B220" s="4">
        <v>45158</v>
      </c>
      <c r="C220" s="9" t="str">
        <f t="shared" si="6"/>
        <v>August</v>
      </c>
      <c r="D220" s="3" t="s">
        <v>232</v>
      </c>
      <c r="E220" s="3" t="s">
        <v>13</v>
      </c>
      <c r="F220" s="3">
        <v>53</v>
      </c>
      <c r="G220" s="8" t="str" cm="1">
        <f t="array" ref="G220">_xlfn.IFS(
    F220 &lt; 25, "Young",
    F220 &lt;= 40, "Mid-Age",
    F220 &gt; 40, "Old-Age"
)</f>
        <v>Old-Age</v>
      </c>
      <c r="H220" s="3" t="s">
        <v>16</v>
      </c>
      <c r="I220" s="3">
        <v>3</v>
      </c>
      <c r="J220" s="3">
        <v>30</v>
      </c>
      <c r="K220" s="3">
        <v>90</v>
      </c>
      <c r="L220" s="3">
        <f t="shared" si="7"/>
        <v>0.77119842115028336</v>
      </c>
    </row>
    <row r="221" spans="1:12" x14ac:dyDescent="0.3">
      <c r="A221" s="3">
        <v>220</v>
      </c>
      <c r="B221" s="4">
        <v>44988</v>
      </c>
      <c r="C221" s="9" t="str">
        <f t="shared" si="6"/>
        <v>March</v>
      </c>
      <c r="D221" s="3" t="s">
        <v>233</v>
      </c>
      <c r="E221" s="3" t="s">
        <v>10</v>
      </c>
      <c r="F221" s="3">
        <v>64</v>
      </c>
      <c r="G221" s="8" t="str" cm="1">
        <f t="array" ref="G221">_xlfn.IFS(
    F221 &lt; 25, "Young",
    F221 &lt;= 40, "Mid-Age",
    F221 &gt; 40, "Old-Age"
)</f>
        <v>Old-Age</v>
      </c>
      <c r="H221" s="3" t="s">
        <v>11</v>
      </c>
      <c r="I221" s="3">
        <v>1</v>
      </c>
      <c r="J221" s="3">
        <v>500</v>
      </c>
      <c r="K221" s="3">
        <v>500</v>
      </c>
      <c r="L221" s="3">
        <f t="shared" si="7"/>
        <v>0.7692129784164129</v>
      </c>
    </row>
    <row r="222" spans="1:12" x14ac:dyDescent="0.3">
      <c r="A222" s="3">
        <v>221</v>
      </c>
      <c r="B222" s="4">
        <v>45053</v>
      </c>
      <c r="C222" s="9" t="str">
        <f t="shared" si="6"/>
        <v>May</v>
      </c>
      <c r="D222" s="3" t="s">
        <v>234</v>
      </c>
      <c r="E222" s="3" t="s">
        <v>10</v>
      </c>
      <c r="F222" s="3">
        <v>39</v>
      </c>
      <c r="G222" s="8" t="str" cm="1">
        <f t="array" ref="G222">_xlfn.IFS(
    F222 &lt; 25, "Young",
    F222 &lt;= 40, "Mid-Age",
    F222 &gt; 40, "Old-Age"
)</f>
        <v>Mid-Age</v>
      </c>
      <c r="H222" s="3" t="s">
        <v>11</v>
      </c>
      <c r="I222" s="3">
        <v>2</v>
      </c>
      <c r="J222" s="3">
        <v>300</v>
      </c>
      <c r="K222" s="3">
        <v>600</v>
      </c>
      <c r="L222" s="3">
        <f t="shared" si="7"/>
        <v>0.77318519052910828</v>
      </c>
    </row>
    <row r="223" spans="1:12" x14ac:dyDescent="0.3">
      <c r="A223" s="3">
        <v>222</v>
      </c>
      <c r="B223" s="4">
        <v>45042</v>
      </c>
      <c r="C223" s="9" t="str">
        <f t="shared" si="6"/>
        <v>April</v>
      </c>
      <c r="D223" s="3" t="s">
        <v>235</v>
      </c>
      <c r="E223" s="3" t="s">
        <v>10</v>
      </c>
      <c r="F223" s="3">
        <v>51</v>
      </c>
      <c r="G223" s="8" t="str" cm="1">
        <f t="array" ref="G223">_xlfn.IFS(
    F223 &lt; 25, "Young",
    F223 &lt;= 40, "Mid-Age",
    F223 &gt; 40, "Old-Age"
)</f>
        <v>Old-Age</v>
      </c>
      <c r="H223" s="3" t="s">
        <v>14</v>
      </c>
      <c r="I223" s="3">
        <v>4</v>
      </c>
      <c r="J223" s="3">
        <v>30</v>
      </c>
      <c r="K223" s="3">
        <v>120</v>
      </c>
      <c r="L223" s="3">
        <f t="shared" si="7"/>
        <v>0.77552414134671144</v>
      </c>
    </row>
    <row r="224" spans="1:12" x14ac:dyDescent="0.3">
      <c r="A224" s="3">
        <v>223</v>
      </c>
      <c r="B224" s="4">
        <v>44959</v>
      </c>
      <c r="C224" s="9" t="str">
        <f t="shared" si="6"/>
        <v>February</v>
      </c>
      <c r="D224" s="3" t="s">
        <v>236</v>
      </c>
      <c r="E224" s="3" t="s">
        <v>13</v>
      </c>
      <c r="F224" s="3">
        <v>64</v>
      </c>
      <c r="G224" s="8" t="str" cm="1">
        <f t="array" ref="G224">_xlfn.IFS(
    F224 &lt; 25, "Young",
    F224 &lt;= 40, "Mid-Age",
    F224 &gt; 40, "Old-Age"
)</f>
        <v>Old-Age</v>
      </c>
      <c r="H224" s="3" t="s">
        <v>14</v>
      </c>
      <c r="I224" s="3">
        <v>1</v>
      </c>
      <c r="J224" s="3">
        <v>25</v>
      </c>
      <c r="K224" s="3">
        <v>25</v>
      </c>
      <c r="L224" s="3">
        <f t="shared" si="7"/>
        <v>0.77353208089082226</v>
      </c>
    </row>
    <row r="225" spans="1:12" x14ac:dyDescent="0.3">
      <c r="A225" s="3">
        <v>224</v>
      </c>
      <c r="B225" s="4">
        <v>45100</v>
      </c>
      <c r="C225" s="9" t="str">
        <f t="shared" si="6"/>
        <v>June</v>
      </c>
      <c r="D225" s="3" t="s">
        <v>237</v>
      </c>
      <c r="E225" s="3" t="s">
        <v>13</v>
      </c>
      <c r="F225" s="3">
        <v>25</v>
      </c>
      <c r="G225" s="8" t="str" cm="1">
        <f t="array" ref="G225">_xlfn.IFS(
    F225 &lt; 25, "Young",
    F225 &lt;= 40, "Mid-Age",
    F225 &gt; 40, "Old-Age"
)</f>
        <v>Mid-Age</v>
      </c>
      <c r="H225" s="3" t="s">
        <v>14</v>
      </c>
      <c r="I225" s="3">
        <v>1</v>
      </c>
      <c r="J225" s="3">
        <v>50</v>
      </c>
      <c r="K225" s="3">
        <v>50</v>
      </c>
      <c r="L225" s="3">
        <f t="shared" si="7"/>
        <v>0.7715609581831111</v>
      </c>
    </row>
    <row r="226" spans="1:12" x14ac:dyDescent="0.3">
      <c r="A226" s="3">
        <v>225</v>
      </c>
      <c r="B226" s="4">
        <v>44937</v>
      </c>
      <c r="C226" s="9" t="str">
        <f t="shared" si="6"/>
        <v>January</v>
      </c>
      <c r="D226" s="3" t="s">
        <v>238</v>
      </c>
      <c r="E226" s="3" t="s">
        <v>13</v>
      </c>
      <c r="F226" s="3">
        <v>57</v>
      </c>
      <c r="G226" s="8" t="str" cm="1">
        <f t="array" ref="G226">_xlfn.IFS(
    F226 &lt; 25, "Young",
    F226 &lt;= 40, "Mid-Age",
    F226 &gt; 40, "Old-Age"
)</f>
        <v>Old-Age</v>
      </c>
      <c r="H226" s="3" t="s">
        <v>11</v>
      </c>
      <c r="I226" s="3">
        <v>4</v>
      </c>
      <c r="J226" s="3">
        <v>25</v>
      </c>
      <c r="K226" s="3">
        <v>100</v>
      </c>
      <c r="L226" s="3">
        <f t="shared" si="7"/>
        <v>0.76952935581178605</v>
      </c>
    </row>
    <row r="227" spans="1:12" x14ac:dyDescent="0.3">
      <c r="A227" s="3">
        <v>226</v>
      </c>
      <c r="B227" s="4">
        <v>45228</v>
      </c>
      <c r="C227" s="9" t="str">
        <f t="shared" si="6"/>
        <v>October</v>
      </c>
      <c r="D227" s="3" t="s">
        <v>239</v>
      </c>
      <c r="E227" s="3" t="s">
        <v>13</v>
      </c>
      <c r="F227" s="3">
        <v>61</v>
      </c>
      <c r="G227" s="8" t="str" cm="1">
        <f t="array" ref="G227">_xlfn.IFS(
    F227 &lt; 25, "Young",
    F227 &lt;= 40, "Mid-Age",
    F227 &gt; 40, "Old-Age"
)</f>
        <v>Old-Age</v>
      </c>
      <c r="H227" s="3" t="s">
        <v>14</v>
      </c>
      <c r="I227" s="3">
        <v>1</v>
      </c>
      <c r="J227" s="3">
        <v>50</v>
      </c>
      <c r="K227" s="3">
        <v>50</v>
      </c>
      <c r="L227" s="3">
        <f t="shared" si="7"/>
        <v>0.76755217397683762</v>
      </c>
    </row>
    <row r="228" spans="1:12" x14ac:dyDescent="0.3">
      <c r="A228" s="3">
        <v>227</v>
      </c>
      <c r="B228" s="4">
        <v>45210</v>
      </c>
      <c r="C228" s="9" t="str">
        <f t="shared" si="6"/>
        <v>October</v>
      </c>
      <c r="D228" s="3" t="s">
        <v>240</v>
      </c>
      <c r="E228" s="3" t="s">
        <v>10</v>
      </c>
      <c r="F228" s="3">
        <v>36</v>
      </c>
      <c r="G228" s="8" t="str" cm="1">
        <f t="array" ref="G228">_xlfn.IFS(
    F228 &lt; 25, "Young",
    F228 &lt;= 40, "Mid-Age",
    F228 &gt; 40, "Old-Age"
)</f>
        <v>Mid-Age</v>
      </c>
      <c r="H228" s="3" t="s">
        <v>16</v>
      </c>
      <c r="I228" s="3">
        <v>2</v>
      </c>
      <c r="J228" s="3">
        <v>50</v>
      </c>
      <c r="K228" s="3">
        <v>100</v>
      </c>
      <c r="L228" s="3">
        <f t="shared" si="7"/>
        <v>0.76551419564526402</v>
      </c>
    </row>
    <row r="229" spans="1:12" x14ac:dyDescent="0.3">
      <c r="A229" s="3">
        <v>228</v>
      </c>
      <c r="B229" s="4">
        <v>45044</v>
      </c>
      <c r="C229" s="9" t="str">
        <f t="shared" si="6"/>
        <v>April</v>
      </c>
      <c r="D229" s="3" t="s">
        <v>241</v>
      </c>
      <c r="E229" s="3" t="s">
        <v>13</v>
      </c>
      <c r="F229" s="3">
        <v>59</v>
      </c>
      <c r="G229" s="8" t="str" cm="1">
        <f t="array" ref="G229">_xlfn.IFS(
    F229 &lt; 25, "Young",
    F229 &lt;= 40, "Mid-Age",
    F229 &gt; 40, "Old-Age"
)</f>
        <v>Old-Age</v>
      </c>
      <c r="H229" s="3" t="s">
        <v>16</v>
      </c>
      <c r="I229" s="3">
        <v>2</v>
      </c>
      <c r="J229" s="3">
        <v>30</v>
      </c>
      <c r="K229" s="3">
        <v>60</v>
      </c>
      <c r="L229" s="3">
        <f t="shared" si="7"/>
        <v>0.76347302083468149</v>
      </c>
    </row>
    <row r="230" spans="1:12" x14ac:dyDescent="0.3">
      <c r="A230" s="3">
        <v>229</v>
      </c>
      <c r="B230" s="4">
        <v>45228</v>
      </c>
      <c r="C230" s="9" t="str">
        <f t="shared" si="6"/>
        <v>October</v>
      </c>
      <c r="D230" s="3" t="s">
        <v>242</v>
      </c>
      <c r="E230" s="3" t="s">
        <v>10</v>
      </c>
      <c r="F230" s="3">
        <v>58</v>
      </c>
      <c r="G230" s="8" t="str" cm="1">
        <f t="array" ref="G230">_xlfn.IFS(
    F230 &lt; 25, "Young",
    F230 &lt;= 40, "Mid-Age",
    F230 &gt; 40, "Old-Age"
)</f>
        <v>Old-Age</v>
      </c>
      <c r="H230" s="3" t="s">
        <v>11</v>
      </c>
      <c r="I230" s="3">
        <v>3</v>
      </c>
      <c r="J230" s="3">
        <v>30</v>
      </c>
      <c r="K230" s="3">
        <v>90</v>
      </c>
      <c r="L230" s="3">
        <f t="shared" si="7"/>
        <v>0.76146244223119219</v>
      </c>
    </row>
    <row r="231" spans="1:12" x14ac:dyDescent="0.3">
      <c r="A231" s="3">
        <v>230</v>
      </c>
      <c r="B231" s="4">
        <v>45039</v>
      </c>
      <c r="C231" s="9" t="str">
        <f t="shared" si="6"/>
        <v>April</v>
      </c>
      <c r="D231" s="3" t="s">
        <v>243</v>
      </c>
      <c r="E231" s="3" t="s">
        <v>10</v>
      </c>
      <c r="F231" s="3">
        <v>54</v>
      </c>
      <c r="G231" s="8" t="str" cm="1">
        <f t="array" ref="G231">_xlfn.IFS(
    F231 &lt; 25, "Young",
    F231 &lt;= 40, "Mid-Age",
    F231 &gt; 40, "Old-Age"
)</f>
        <v>Old-Age</v>
      </c>
      <c r="H231" s="3" t="s">
        <v>11</v>
      </c>
      <c r="I231" s="3">
        <v>1</v>
      </c>
      <c r="J231" s="3">
        <v>25</v>
      </c>
      <c r="K231" s="3">
        <v>25</v>
      </c>
      <c r="L231" s="3">
        <f t="shared" si="7"/>
        <v>0.75944881000924724</v>
      </c>
    </row>
    <row r="232" spans="1:12" x14ac:dyDescent="0.3">
      <c r="A232" s="3">
        <v>231</v>
      </c>
      <c r="B232" s="4">
        <v>44930</v>
      </c>
      <c r="C232" s="9" t="str">
        <f t="shared" si="6"/>
        <v>January</v>
      </c>
      <c r="D232" s="3" t="s">
        <v>244</v>
      </c>
      <c r="E232" s="3" t="s">
        <v>13</v>
      </c>
      <c r="F232" s="3">
        <v>23</v>
      </c>
      <c r="G232" s="8" t="str" cm="1">
        <f t="array" ref="G232">_xlfn.IFS(
    F232 &lt; 25, "Young",
    F232 &lt;= 40, "Mid-Age",
    F232 &gt; 40, "Old-Age"
)</f>
        <v>Young</v>
      </c>
      <c r="H232" s="3" t="s">
        <v>14</v>
      </c>
      <c r="I232" s="3">
        <v>3</v>
      </c>
      <c r="J232" s="3">
        <v>50</v>
      </c>
      <c r="K232" s="3">
        <v>150</v>
      </c>
      <c r="L232" s="3">
        <f t="shared" si="7"/>
        <v>0.75745628774467466</v>
      </c>
    </row>
    <row r="233" spans="1:12" x14ac:dyDescent="0.3">
      <c r="A233" s="3">
        <v>232</v>
      </c>
      <c r="B233" s="4">
        <v>44963</v>
      </c>
      <c r="C233" s="9" t="str">
        <f t="shared" si="6"/>
        <v>February</v>
      </c>
      <c r="D233" s="3" t="s">
        <v>245</v>
      </c>
      <c r="E233" s="3" t="s">
        <v>13</v>
      </c>
      <c r="F233" s="3">
        <v>43</v>
      </c>
      <c r="G233" s="8" t="str" cm="1">
        <f t="array" ref="G233">_xlfn.IFS(
    F233 &lt; 25, "Young",
    F233 &lt;= 40, "Mid-Age",
    F233 &gt; 40, "Old-Age"
)</f>
        <v>Old-Age</v>
      </c>
      <c r="H233" s="3" t="s">
        <v>11</v>
      </c>
      <c r="I233" s="3">
        <v>1</v>
      </c>
      <c r="J233" s="3">
        <v>25</v>
      </c>
      <c r="K233" s="3">
        <v>25</v>
      </c>
      <c r="L233" s="3">
        <f t="shared" si="7"/>
        <v>0.75540214119457372</v>
      </c>
    </row>
    <row r="234" spans="1:12" x14ac:dyDescent="0.3">
      <c r="A234" s="3">
        <v>233</v>
      </c>
      <c r="B234" s="4">
        <v>45289</v>
      </c>
      <c r="C234" s="9" t="str">
        <f t="shared" si="6"/>
        <v>December</v>
      </c>
      <c r="D234" s="3" t="s">
        <v>246</v>
      </c>
      <c r="E234" s="3" t="s">
        <v>13</v>
      </c>
      <c r="F234" s="3">
        <v>51</v>
      </c>
      <c r="G234" s="8" t="str" cm="1">
        <f t="array" ref="G234">_xlfn.IFS(
    F234 &lt; 25, "Young",
    F234 &lt;= 40, "Mid-Age",
    F234 &gt; 40, "Old-Age"
)</f>
        <v>Old-Age</v>
      </c>
      <c r="H234" s="3" t="s">
        <v>11</v>
      </c>
      <c r="I234" s="3">
        <v>2</v>
      </c>
      <c r="J234" s="3">
        <v>300</v>
      </c>
      <c r="K234" s="3">
        <v>600</v>
      </c>
      <c r="L234" s="3">
        <f t="shared" si="7"/>
        <v>0.75340339354890129</v>
      </c>
    </row>
    <row r="235" spans="1:12" x14ac:dyDescent="0.3">
      <c r="A235" s="3">
        <v>234</v>
      </c>
      <c r="B235" s="4">
        <v>45250</v>
      </c>
      <c r="C235" s="9" t="str">
        <f t="shared" si="6"/>
        <v>November</v>
      </c>
      <c r="D235" s="3" t="s">
        <v>247</v>
      </c>
      <c r="E235" s="3" t="s">
        <v>13</v>
      </c>
      <c r="F235" s="3">
        <v>62</v>
      </c>
      <c r="G235" s="8" t="str" cm="1">
        <f t="array" ref="G235">_xlfn.IFS(
    F235 &lt; 25, "Young",
    F235 &lt;= 40, "Mid-Age",
    F235 &gt; 40, "Old-Age"
)</f>
        <v>Old-Age</v>
      </c>
      <c r="H235" s="3" t="s">
        <v>16</v>
      </c>
      <c r="I235" s="3">
        <v>2</v>
      </c>
      <c r="J235" s="3">
        <v>25</v>
      </c>
      <c r="K235" s="3">
        <v>50</v>
      </c>
      <c r="L235" s="3">
        <f t="shared" si="7"/>
        <v>0.75572455178650277</v>
      </c>
    </row>
    <row r="236" spans="1:12" x14ac:dyDescent="0.3">
      <c r="A236" s="3">
        <v>235</v>
      </c>
      <c r="B236" s="4">
        <v>44957</v>
      </c>
      <c r="C236" s="9" t="str">
        <f t="shared" si="6"/>
        <v>January</v>
      </c>
      <c r="D236" s="3" t="s">
        <v>248</v>
      </c>
      <c r="E236" s="3" t="s">
        <v>13</v>
      </c>
      <c r="F236" s="3">
        <v>23</v>
      </c>
      <c r="G236" s="8" t="str" cm="1">
        <f t="array" ref="G236">_xlfn.IFS(
    F236 &lt; 25, "Young",
    F236 &lt;= 40, "Mid-Age",
    F236 &gt; 40, "Old-Age"
)</f>
        <v>Young</v>
      </c>
      <c r="H236" s="3" t="s">
        <v>16</v>
      </c>
      <c r="I236" s="3">
        <v>2</v>
      </c>
      <c r="J236" s="3">
        <v>500</v>
      </c>
      <c r="K236" s="3">
        <v>1000</v>
      </c>
      <c r="L236" s="3">
        <f t="shared" si="7"/>
        <v>0.75372049409042208</v>
      </c>
    </row>
    <row r="237" spans="1:12" x14ac:dyDescent="0.3">
      <c r="A237" s="3">
        <v>236</v>
      </c>
      <c r="B237" s="4">
        <v>45044</v>
      </c>
      <c r="C237" s="9" t="str">
        <f t="shared" si="6"/>
        <v>April</v>
      </c>
      <c r="D237" s="3" t="s">
        <v>249</v>
      </c>
      <c r="E237" s="3" t="s">
        <v>13</v>
      </c>
      <c r="F237" s="3">
        <v>54</v>
      </c>
      <c r="G237" s="8" t="str" cm="1">
        <f t="array" ref="G237">_xlfn.IFS(
    F237 &lt; 25, "Young",
    F237 &lt;= 40, "Mid-Age",
    F237 &gt; 40, "Old-Age"
)</f>
        <v>Old-Age</v>
      </c>
      <c r="H237" s="3" t="s">
        <v>14</v>
      </c>
      <c r="I237" s="3">
        <v>1</v>
      </c>
      <c r="J237" s="3">
        <v>25</v>
      </c>
      <c r="K237" s="3">
        <v>25</v>
      </c>
      <c r="L237" s="3">
        <f t="shared" si="7"/>
        <v>0.75772290722036928</v>
      </c>
    </row>
    <row r="238" spans="1:12" x14ac:dyDescent="0.3">
      <c r="A238" s="3">
        <v>237</v>
      </c>
      <c r="B238" s="4">
        <v>44961</v>
      </c>
      <c r="C238" s="9" t="str">
        <f t="shared" si="6"/>
        <v>February</v>
      </c>
      <c r="D238" s="3" t="s">
        <v>250</v>
      </c>
      <c r="E238" s="3" t="s">
        <v>13</v>
      </c>
      <c r="F238" s="3">
        <v>50</v>
      </c>
      <c r="G238" s="8" t="str" cm="1">
        <f t="array" ref="G238">_xlfn.IFS(
    F238 &lt; 25, "Young",
    F238 &lt;= 40, "Mid-Age",
    F238 &gt; 40, "Old-Age"
)</f>
        <v>Old-Age</v>
      </c>
      <c r="H238" s="3" t="s">
        <v>11</v>
      </c>
      <c r="I238" s="3">
        <v>2</v>
      </c>
      <c r="J238" s="3">
        <v>500</v>
      </c>
      <c r="K238" s="3">
        <v>1000</v>
      </c>
      <c r="L238" s="3">
        <f t="shared" si="7"/>
        <v>0.75571450608016644</v>
      </c>
    </row>
    <row r="239" spans="1:12" x14ac:dyDescent="0.3">
      <c r="A239" s="3">
        <v>238</v>
      </c>
      <c r="B239" s="4">
        <v>44943</v>
      </c>
      <c r="C239" s="9" t="str">
        <f t="shared" si="6"/>
        <v>January</v>
      </c>
      <c r="D239" s="3" t="s">
        <v>251</v>
      </c>
      <c r="E239" s="3" t="s">
        <v>13</v>
      </c>
      <c r="F239" s="3">
        <v>39</v>
      </c>
      <c r="G239" s="8" t="str" cm="1">
        <f t="array" ref="G239">_xlfn.IFS(
    F239 &lt; 25, "Young",
    F239 &lt;= 40, "Mid-Age",
    F239 &gt; 40, "Old-Age"
)</f>
        <v>Mid-Age</v>
      </c>
      <c r="H239" s="3" t="s">
        <v>11</v>
      </c>
      <c r="I239" s="3">
        <v>1</v>
      </c>
      <c r="J239" s="3">
        <v>500</v>
      </c>
      <c r="K239" s="3">
        <v>500</v>
      </c>
      <c r="L239" s="3">
        <f t="shared" si="7"/>
        <v>0.75973013776052223</v>
      </c>
    </row>
    <row r="240" spans="1:12" x14ac:dyDescent="0.3">
      <c r="A240" s="3">
        <v>239</v>
      </c>
      <c r="B240" s="4">
        <v>45096</v>
      </c>
      <c r="C240" s="9" t="str">
        <f t="shared" si="6"/>
        <v>June</v>
      </c>
      <c r="D240" s="3" t="s">
        <v>252</v>
      </c>
      <c r="E240" s="3" t="s">
        <v>10</v>
      </c>
      <c r="F240" s="3">
        <v>38</v>
      </c>
      <c r="G240" s="8" t="str" cm="1">
        <f t="array" ref="G240">_xlfn.IFS(
    F240 &lt; 25, "Young",
    F240 &lt;= 40, "Mid-Age",
    F240 &gt; 40, "Old-Age"
)</f>
        <v>Mid-Age</v>
      </c>
      <c r="H240" s="3" t="s">
        <v>16</v>
      </c>
      <c r="I240" s="3">
        <v>3</v>
      </c>
      <c r="J240" s="3">
        <v>500</v>
      </c>
      <c r="K240" s="3">
        <v>1500</v>
      </c>
      <c r="L240" s="3">
        <f t="shared" si="7"/>
        <v>0.76376040603250139</v>
      </c>
    </row>
    <row r="241" spans="1:12" x14ac:dyDescent="0.3">
      <c r="A241" s="3">
        <v>240</v>
      </c>
      <c r="B241" s="4">
        <v>44963</v>
      </c>
      <c r="C241" s="9" t="str">
        <f t="shared" si="6"/>
        <v>February</v>
      </c>
      <c r="D241" s="3" t="s">
        <v>253</v>
      </c>
      <c r="E241" s="3" t="s">
        <v>13</v>
      </c>
      <c r="F241" s="3">
        <v>23</v>
      </c>
      <c r="G241" s="8" t="str" cm="1">
        <f t="array" ref="G241">_xlfn.IFS(
    F241 &lt; 25, "Young",
    F241 &lt;= 40, "Mid-Age",
    F241 &gt; 40, "Old-Age"
)</f>
        <v>Young</v>
      </c>
      <c r="H241" s="3" t="s">
        <v>11</v>
      </c>
      <c r="I241" s="3">
        <v>1</v>
      </c>
      <c r="J241" s="3">
        <v>300</v>
      </c>
      <c r="K241" s="3">
        <v>300</v>
      </c>
      <c r="L241" s="3">
        <f t="shared" si="7"/>
        <v>0.76780536892530415</v>
      </c>
    </row>
    <row r="242" spans="1:12" x14ac:dyDescent="0.3">
      <c r="A242" s="3">
        <v>241</v>
      </c>
      <c r="B242" s="4">
        <v>45190</v>
      </c>
      <c r="C242" s="9" t="str">
        <f t="shared" si="6"/>
        <v>September</v>
      </c>
      <c r="D242" s="3" t="s">
        <v>254</v>
      </c>
      <c r="E242" s="3" t="s">
        <v>13</v>
      </c>
      <c r="F242" s="3">
        <v>23</v>
      </c>
      <c r="G242" s="8" t="str" cm="1">
        <f t="array" ref="G242">_xlfn.IFS(
    F242 &lt; 25, "Young",
    F242 &lt;= 40, "Mid-Age",
    F242 &gt; 40, "Old-Age"
)</f>
        <v>Young</v>
      </c>
      <c r="H242" s="3" t="s">
        <v>16</v>
      </c>
      <c r="I242" s="3">
        <v>3</v>
      </c>
      <c r="J242" s="3">
        <v>25</v>
      </c>
      <c r="K242" s="3">
        <v>75</v>
      </c>
      <c r="L242" s="3">
        <f t="shared" si="7"/>
        <v>0.77019531896255211</v>
      </c>
    </row>
    <row r="243" spans="1:12" x14ac:dyDescent="0.3">
      <c r="A243" s="3">
        <v>242</v>
      </c>
      <c r="B243" s="4">
        <v>45048</v>
      </c>
      <c r="C243" s="9" t="str">
        <f t="shared" si="6"/>
        <v>May</v>
      </c>
      <c r="D243" s="3" t="s">
        <v>255</v>
      </c>
      <c r="E243" s="3" t="s">
        <v>10</v>
      </c>
      <c r="F243" s="3">
        <v>21</v>
      </c>
      <c r="G243" s="8" t="str" cm="1">
        <f t="array" ref="G243">_xlfn.IFS(
    F243 &lt; 25, "Young",
    F243 &lt;= 40, "Mid-Age",
    F243 &gt; 40, "Old-Age"
)</f>
        <v>Young</v>
      </c>
      <c r="H243" s="3" t="s">
        <v>14</v>
      </c>
      <c r="I243" s="3">
        <v>1</v>
      </c>
      <c r="J243" s="3">
        <v>25</v>
      </c>
      <c r="K243" s="3">
        <v>25</v>
      </c>
      <c r="L243" s="3">
        <f t="shared" si="7"/>
        <v>0.7681773823760264</v>
      </c>
    </row>
    <row r="244" spans="1:12" x14ac:dyDescent="0.3">
      <c r="A244" s="3">
        <v>243</v>
      </c>
      <c r="B244" s="4">
        <v>45069</v>
      </c>
      <c r="C244" s="9" t="str">
        <f t="shared" si="6"/>
        <v>May</v>
      </c>
      <c r="D244" s="3" t="s">
        <v>256</v>
      </c>
      <c r="E244" s="3" t="s">
        <v>13</v>
      </c>
      <c r="F244" s="3">
        <v>47</v>
      </c>
      <c r="G244" s="8" t="str" cm="1">
        <f t="array" ref="G244">_xlfn.IFS(
    F244 &lt; 25, "Young",
    F244 &lt;= 40, "Mid-Age",
    F244 &gt; 40, "Old-Age"
)</f>
        <v>Old-Age</v>
      </c>
      <c r="H244" s="3" t="s">
        <v>16</v>
      </c>
      <c r="I244" s="3">
        <v>3</v>
      </c>
      <c r="J244" s="3">
        <v>300</v>
      </c>
      <c r="K244" s="3">
        <v>900</v>
      </c>
      <c r="L244" s="3">
        <f t="shared" si="7"/>
        <v>0.76615643889851026</v>
      </c>
    </row>
    <row r="245" spans="1:12" x14ac:dyDescent="0.3">
      <c r="A245" s="3">
        <v>244</v>
      </c>
      <c r="B245" s="4">
        <v>45269</v>
      </c>
      <c r="C245" s="9" t="str">
        <f t="shared" si="6"/>
        <v>December</v>
      </c>
      <c r="D245" s="3" t="s">
        <v>257</v>
      </c>
      <c r="E245" s="3" t="s">
        <v>10</v>
      </c>
      <c r="F245" s="3">
        <v>28</v>
      </c>
      <c r="G245" s="8" t="str" cm="1">
        <f t="array" ref="G245">_xlfn.IFS(
    F245 &lt; 25, "Young",
    F245 &lt;= 40, "Mid-Age",
    F245 &gt; 40, "Old-Age"
)</f>
        <v>Mid-Age</v>
      </c>
      <c r="H245" s="3" t="s">
        <v>11</v>
      </c>
      <c r="I245" s="3">
        <v>2</v>
      </c>
      <c r="J245" s="3">
        <v>50</v>
      </c>
      <c r="K245" s="3">
        <v>100</v>
      </c>
      <c r="L245" s="3">
        <f t="shared" si="7"/>
        <v>0.76854788043745959</v>
      </c>
    </row>
    <row r="246" spans="1:12" x14ac:dyDescent="0.3">
      <c r="A246" s="3">
        <v>245</v>
      </c>
      <c r="B246" s="4">
        <v>45175</v>
      </c>
      <c r="C246" s="9" t="str">
        <f t="shared" si="6"/>
        <v>September</v>
      </c>
      <c r="D246" s="3" t="s">
        <v>258</v>
      </c>
      <c r="E246" s="3" t="s">
        <v>10</v>
      </c>
      <c r="F246" s="3">
        <v>47</v>
      </c>
      <c r="G246" s="8" t="str" cm="1">
        <f t="array" ref="G246">_xlfn.IFS(
    F246 &lt; 25, "Young",
    F246 &lt;= 40, "Mid-Age",
    F246 &gt; 40, "Old-Age"
)</f>
        <v>Old-Age</v>
      </c>
      <c r="H246" s="3" t="s">
        <v>14</v>
      </c>
      <c r="I246" s="3">
        <v>3</v>
      </c>
      <c r="J246" s="3">
        <v>30</v>
      </c>
      <c r="K246" s="3">
        <v>90</v>
      </c>
      <c r="L246" s="3">
        <f t="shared" si="7"/>
        <v>0.76646156865081172</v>
      </c>
    </row>
    <row r="247" spans="1:12" x14ac:dyDescent="0.3">
      <c r="A247" s="3">
        <v>246</v>
      </c>
      <c r="B247" s="4">
        <v>45036</v>
      </c>
      <c r="C247" s="9" t="str">
        <f t="shared" si="6"/>
        <v>April</v>
      </c>
      <c r="D247" s="3" t="s">
        <v>259</v>
      </c>
      <c r="E247" s="3" t="s">
        <v>13</v>
      </c>
      <c r="F247" s="3">
        <v>48</v>
      </c>
      <c r="G247" s="8" t="str" cm="1">
        <f t="array" ref="G247">_xlfn.IFS(
    F247 &lt; 25, "Young",
    F247 &lt;= 40, "Mid-Age",
    F247 &gt; 40, "Old-Age"
)</f>
        <v>Old-Age</v>
      </c>
      <c r="H247" s="3" t="s">
        <v>16</v>
      </c>
      <c r="I247" s="3">
        <v>2</v>
      </c>
      <c r="J247" s="3">
        <v>25</v>
      </c>
      <c r="K247" s="3">
        <v>50</v>
      </c>
      <c r="L247" s="3">
        <f t="shared" si="7"/>
        <v>0.76440702409445238</v>
      </c>
    </row>
    <row r="248" spans="1:12" x14ac:dyDescent="0.3">
      <c r="A248" s="3">
        <v>247</v>
      </c>
      <c r="B248" s="4">
        <v>45203</v>
      </c>
      <c r="C248" s="9" t="str">
        <f t="shared" si="6"/>
        <v>October</v>
      </c>
      <c r="D248" s="3" t="s">
        <v>260</v>
      </c>
      <c r="E248" s="3" t="s">
        <v>10</v>
      </c>
      <c r="F248" s="3">
        <v>41</v>
      </c>
      <c r="G248" s="8" t="str" cm="1">
        <f t="array" ref="G248">_xlfn.IFS(
    F248 &lt; 25, "Young",
    F248 &lt;= 40, "Mid-Age",
    F248 &gt; 40, "Old-Age"
)</f>
        <v>Old-Age</v>
      </c>
      <c r="H248" s="3" t="s">
        <v>16</v>
      </c>
      <c r="I248" s="3">
        <v>2</v>
      </c>
      <c r="J248" s="3">
        <v>30</v>
      </c>
      <c r="K248" s="3">
        <v>60</v>
      </c>
      <c r="L248" s="3">
        <f t="shared" si="7"/>
        <v>0.76237415724241653</v>
      </c>
    </row>
    <row r="249" spans="1:12" x14ac:dyDescent="0.3">
      <c r="A249" s="3">
        <v>248</v>
      </c>
      <c r="B249" s="4">
        <v>44994</v>
      </c>
      <c r="C249" s="9" t="str">
        <f t="shared" si="6"/>
        <v>March</v>
      </c>
      <c r="D249" s="3" t="s">
        <v>261</v>
      </c>
      <c r="E249" s="3" t="s">
        <v>10</v>
      </c>
      <c r="F249" s="3">
        <v>26</v>
      </c>
      <c r="G249" s="8" t="str" cm="1">
        <f t="array" ref="G249">_xlfn.IFS(
    F249 &lt; 25, "Young",
    F249 &lt;= 40, "Mid-Age",
    F249 &gt; 40, "Old-Age"
)</f>
        <v>Mid-Age</v>
      </c>
      <c r="H249" s="3" t="s">
        <v>14</v>
      </c>
      <c r="I249" s="3">
        <v>3</v>
      </c>
      <c r="J249" s="3">
        <v>300</v>
      </c>
      <c r="K249" s="3">
        <v>900</v>
      </c>
      <c r="L249" s="3">
        <f t="shared" si="7"/>
        <v>0.76031329272556791</v>
      </c>
    </row>
    <row r="250" spans="1:12" x14ac:dyDescent="0.3">
      <c r="A250" s="3">
        <v>249</v>
      </c>
      <c r="B250" s="4">
        <v>45219</v>
      </c>
      <c r="C250" s="9" t="str">
        <f t="shared" si="6"/>
        <v>October</v>
      </c>
      <c r="D250" s="3" t="s">
        <v>262</v>
      </c>
      <c r="E250" s="3" t="s">
        <v>10</v>
      </c>
      <c r="F250" s="3">
        <v>20</v>
      </c>
      <c r="G250" s="8" t="str" cm="1">
        <f t="array" ref="G250">_xlfn.IFS(
    F250 &lt; 25, "Young",
    F250 &lt;= 40, "Mid-Age",
    F250 &gt; 40, "Old-Age"
)</f>
        <v>Young</v>
      </c>
      <c r="H250" s="3" t="s">
        <v>14</v>
      </c>
      <c r="I250" s="3">
        <v>1</v>
      </c>
      <c r="J250" s="3">
        <v>50</v>
      </c>
      <c r="K250" s="3">
        <v>50</v>
      </c>
      <c r="L250" s="3">
        <f t="shared" si="7"/>
        <v>0.76270184381907935</v>
      </c>
    </row>
    <row r="251" spans="1:12" x14ac:dyDescent="0.3">
      <c r="A251" s="3">
        <v>250</v>
      </c>
      <c r="B251" s="4">
        <v>45222</v>
      </c>
      <c r="C251" s="9" t="str">
        <f t="shared" si="6"/>
        <v>October</v>
      </c>
      <c r="D251" s="3" t="s">
        <v>263</v>
      </c>
      <c r="E251" s="3" t="s">
        <v>10</v>
      </c>
      <c r="F251" s="3">
        <v>48</v>
      </c>
      <c r="G251" s="8" t="str" cm="1">
        <f t="array" ref="G251">_xlfn.IFS(
    F251 &lt; 25, "Young",
    F251 &lt;= 40, "Mid-Age",
    F251 &gt; 40, "Old-Age"
)</f>
        <v>Old-Age</v>
      </c>
      <c r="H251" s="3" t="s">
        <v>16</v>
      </c>
      <c r="I251" s="3">
        <v>1</v>
      </c>
      <c r="J251" s="3">
        <v>50</v>
      </c>
      <c r="K251" s="3">
        <v>50</v>
      </c>
      <c r="L251" s="3">
        <f t="shared" si="7"/>
        <v>0.76059993292209926</v>
      </c>
    </row>
    <row r="252" spans="1:12" x14ac:dyDescent="0.3">
      <c r="A252" s="3">
        <v>251</v>
      </c>
      <c r="B252" s="4">
        <v>45169</v>
      </c>
      <c r="C252" s="9" t="str">
        <f t="shared" si="6"/>
        <v>August</v>
      </c>
      <c r="D252" s="3" t="s">
        <v>264</v>
      </c>
      <c r="E252" s="3" t="s">
        <v>13</v>
      </c>
      <c r="F252" s="3">
        <v>57</v>
      </c>
      <c r="G252" s="8" t="str" cm="1">
        <f t="array" ref="G252">_xlfn.IFS(
    F252 &lt; 25, "Young",
    F252 &lt;= 40, "Mid-Age",
    F252 &gt; 40, "Old-Age"
)</f>
        <v>Old-Age</v>
      </c>
      <c r="H252" s="3" t="s">
        <v>11</v>
      </c>
      <c r="I252" s="3">
        <v>4</v>
      </c>
      <c r="J252" s="3">
        <v>50</v>
      </c>
      <c r="K252" s="3">
        <v>200</v>
      </c>
      <c r="L252" s="3">
        <f t="shared" si="7"/>
        <v>0.75849461444186683</v>
      </c>
    </row>
    <row r="253" spans="1:12" x14ac:dyDescent="0.3">
      <c r="A253" s="3">
        <v>252</v>
      </c>
      <c r="B253" s="4">
        <v>45051</v>
      </c>
      <c r="C253" s="9" t="str">
        <f t="shared" si="6"/>
        <v>May</v>
      </c>
      <c r="D253" s="3" t="s">
        <v>265</v>
      </c>
      <c r="E253" s="3" t="s">
        <v>10</v>
      </c>
      <c r="F253" s="3">
        <v>54</v>
      </c>
      <c r="G253" s="8" t="str" cm="1">
        <f t="array" ref="G253">_xlfn.IFS(
    F253 &lt; 25, "Young",
    F253 &lt;= 40, "Mid-Age",
    F253 &gt; 40, "Old-Age"
)</f>
        <v>Old-Age</v>
      </c>
      <c r="H253" s="3" t="s">
        <v>16</v>
      </c>
      <c r="I253" s="3">
        <v>1</v>
      </c>
      <c r="J253" s="3">
        <v>300</v>
      </c>
      <c r="K253" s="3">
        <v>300</v>
      </c>
      <c r="L253" s="3">
        <f t="shared" si="7"/>
        <v>0.75638587433476157</v>
      </c>
    </row>
    <row r="254" spans="1:12" x14ac:dyDescent="0.3">
      <c r="A254" s="3">
        <v>253</v>
      </c>
      <c r="B254" s="4">
        <v>45169</v>
      </c>
      <c r="C254" s="9" t="str">
        <f t="shared" si="6"/>
        <v>August</v>
      </c>
      <c r="D254" s="3" t="s">
        <v>266</v>
      </c>
      <c r="E254" s="3" t="s">
        <v>13</v>
      </c>
      <c r="F254" s="3">
        <v>53</v>
      </c>
      <c r="G254" s="8" t="str" cm="1">
        <f t="array" ref="G254">_xlfn.IFS(
    F254 &lt; 25, "Young",
    F254 &lt;= 40, "Mid-Age",
    F254 &gt; 40, "Old-Age"
)</f>
        <v>Old-Age</v>
      </c>
      <c r="H254" s="3" t="s">
        <v>14</v>
      </c>
      <c r="I254" s="3">
        <v>4</v>
      </c>
      <c r="J254" s="3">
        <v>500</v>
      </c>
      <c r="K254" s="3">
        <v>2000</v>
      </c>
      <c r="L254" s="3">
        <f t="shared" si="7"/>
        <v>0.75877451580905775</v>
      </c>
    </row>
    <row r="255" spans="1:12" x14ac:dyDescent="0.3">
      <c r="A255" s="3">
        <v>254</v>
      </c>
      <c r="B255" s="4">
        <v>45135</v>
      </c>
      <c r="C255" s="9" t="str">
        <f t="shared" si="6"/>
        <v>July</v>
      </c>
      <c r="D255" s="3" t="s">
        <v>267</v>
      </c>
      <c r="E255" s="3" t="s">
        <v>10</v>
      </c>
      <c r="F255" s="3">
        <v>41</v>
      </c>
      <c r="G255" s="8" t="str" cm="1">
        <f t="array" ref="G255">_xlfn.IFS(
    F255 &lt; 25, "Young",
    F255 &lt;= 40, "Mid-Age",
    F255 &gt; 40, "Old-Age"
)</f>
        <v>Old-Age</v>
      </c>
      <c r="H255" s="3" t="s">
        <v>16</v>
      </c>
      <c r="I255" s="3">
        <v>1</v>
      </c>
      <c r="J255" s="3">
        <v>500</v>
      </c>
      <c r="K255" s="3">
        <v>500</v>
      </c>
      <c r="L255" s="3">
        <f t="shared" si="7"/>
        <v>0.76289012233682452</v>
      </c>
    </row>
    <row r="256" spans="1:12" x14ac:dyDescent="0.3">
      <c r="A256" s="3">
        <v>255</v>
      </c>
      <c r="B256" s="4">
        <v>45024</v>
      </c>
      <c r="C256" s="9" t="str">
        <f t="shared" si="6"/>
        <v>April</v>
      </c>
      <c r="D256" s="3" t="s">
        <v>268</v>
      </c>
      <c r="E256" s="3" t="s">
        <v>10</v>
      </c>
      <c r="F256" s="3">
        <v>48</v>
      </c>
      <c r="G256" s="8" t="str" cm="1">
        <f t="array" ref="G256">_xlfn.IFS(
    F256 &lt; 25, "Young",
    F256 &lt;= 40, "Mid-Age",
    F256 &gt; 40, "Old-Age"
)</f>
        <v>Old-Age</v>
      </c>
      <c r="H256" s="3" t="s">
        <v>14</v>
      </c>
      <c r="I256" s="3">
        <v>1</v>
      </c>
      <c r="J256" s="3">
        <v>30</v>
      </c>
      <c r="K256" s="3">
        <v>30</v>
      </c>
      <c r="L256" s="3">
        <f t="shared" si="7"/>
        <v>0.76702115495939638</v>
      </c>
    </row>
    <row r="257" spans="1:12" x14ac:dyDescent="0.3">
      <c r="A257" s="3">
        <v>256</v>
      </c>
      <c r="B257" s="4">
        <v>44975</v>
      </c>
      <c r="C257" s="9" t="str">
        <f t="shared" si="6"/>
        <v>February</v>
      </c>
      <c r="D257" s="3" t="s">
        <v>269</v>
      </c>
      <c r="E257" s="3" t="s">
        <v>10</v>
      </c>
      <c r="F257" s="3">
        <v>23</v>
      </c>
      <c r="G257" s="8" t="str" cm="1">
        <f t="array" ref="G257">_xlfn.IFS(
    F257 &lt; 25, "Young",
    F257 &lt;= 40, "Mid-Age",
    F257 &gt; 40, "Old-Age"
)</f>
        <v>Young</v>
      </c>
      <c r="H257" s="3" t="s">
        <v>14</v>
      </c>
      <c r="I257" s="3">
        <v>2</v>
      </c>
      <c r="J257" s="3">
        <v>500</v>
      </c>
      <c r="K257" s="3">
        <v>1000</v>
      </c>
      <c r="L257" s="3">
        <f t="shared" si="7"/>
        <v>0.76493891026640792</v>
      </c>
    </row>
    <row r="258" spans="1:12" x14ac:dyDescent="0.3">
      <c r="A258" s="3">
        <v>257</v>
      </c>
      <c r="B258" s="4">
        <v>44976</v>
      </c>
      <c r="C258" s="9" t="str">
        <f t="shared" ref="C258:C321" si="8">TEXT(B258,"mmmm")</f>
        <v>February</v>
      </c>
      <c r="D258" s="3" t="s">
        <v>270</v>
      </c>
      <c r="E258" s="3" t="s">
        <v>10</v>
      </c>
      <c r="F258" s="3">
        <v>19</v>
      </c>
      <c r="G258" s="8" t="str" cm="1">
        <f t="array" ref="G258">_xlfn.IFS(
    F258 &lt; 25, "Young",
    F258 &lt;= 40, "Mid-Age",
    F258 &gt; 40, "Old-Age"
)</f>
        <v>Young</v>
      </c>
      <c r="H258" s="3" t="s">
        <v>11</v>
      </c>
      <c r="I258" s="3">
        <v>4</v>
      </c>
      <c r="J258" s="3">
        <v>500</v>
      </c>
      <c r="K258" s="3">
        <v>2000</v>
      </c>
      <c r="L258" s="3">
        <f t="shared" ref="L258:L321" si="9">SKEW(J258:J1257)</f>
        <v>0.76908387030505698</v>
      </c>
    </row>
    <row r="259" spans="1:12" x14ac:dyDescent="0.3">
      <c r="A259" s="3">
        <v>258</v>
      </c>
      <c r="B259" s="4">
        <v>45264</v>
      </c>
      <c r="C259" s="9" t="str">
        <f t="shared" si="8"/>
        <v>December</v>
      </c>
      <c r="D259" s="3" t="s">
        <v>271</v>
      </c>
      <c r="E259" s="3" t="s">
        <v>13</v>
      </c>
      <c r="F259" s="3">
        <v>37</v>
      </c>
      <c r="G259" s="8" t="str" cm="1">
        <f t="array" ref="G259">_xlfn.IFS(
    F259 &lt; 25, "Young",
    F259 &lt;= 40, "Mid-Age",
    F259 &gt; 40, "Old-Age"
)</f>
        <v>Mid-Age</v>
      </c>
      <c r="H259" s="3" t="s">
        <v>14</v>
      </c>
      <c r="I259" s="3">
        <v>1</v>
      </c>
      <c r="J259" s="3">
        <v>50</v>
      </c>
      <c r="K259" s="3">
        <v>50</v>
      </c>
      <c r="L259" s="3">
        <f t="shared" si="9"/>
        <v>0.77324436904597704</v>
      </c>
    </row>
    <row r="260" spans="1:12" x14ac:dyDescent="0.3">
      <c r="A260" s="3">
        <v>259</v>
      </c>
      <c r="B260" s="4">
        <v>45147</v>
      </c>
      <c r="C260" s="9" t="str">
        <f t="shared" si="8"/>
        <v>August</v>
      </c>
      <c r="D260" s="3" t="s">
        <v>272</v>
      </c>
      <c r="E260" s="3" t="s">
        <v>13</v>
      </c>
      <c r="F260" s="3">
        <v>45</v>
      </c>
      <c r="G260" s="8" t="str" cm="1">
        <f t="array" ref="G260">_xlfn.IFS(
    F260 &lt; 25, "Young",
    F260 &lt;= 40, "Mid-Age",
    F260 &gt; 40, "Old-Age"
)</f>
        <v>Old-Age</v>
      </c>
      <c r="H260" s="3" t="s">
        <v>14</v>
      </c>
      <c r="I260" s="3">
        <v>4</v>
      </c>
      <c r="J260" s="3">
        <v>50</v>
      </c>
      <c r="K260" s="3">
        <v>200</v>
      </c>
      <c r="L260" s="3">
        <f t="shared" si="9"/>
        <v>0.77112004297696235</v>
      </c>
    </row>
    <row r="261" spans="1:12" x14ac:dyDescent="0.3">
      <c r="A261" s="3">
        <v>260</v>
      </c>
      <c r="B261" s="4">
        <v>45108</v>
      </c>
      <c r="C261" s="9" t="str">
        <f t="shared" si="8"/>
        <v>July</v>
      </c>
      <c r="D261" s="3" t="s">
        <v>273</v>
      </c>
      <c r="E261" s="3" t="s">
        <v>10</v>
      </c>
      <c r="F261" s="3">
        <v>28</v>
      </c>
      <c r="G261" s="8" t="str" cm="1">
        <f t="array" ref="G261">_xlfn.IFS(
    F261 &lt; 25, "Young",
    F261 &lt;= 40, "Mid-Age",
    F261 &gt; 40, "Old-Age"
)</f>
        <v>Mid-Age</v>
      </c>
      <c r="H261" s="3" t="s">
        <v>11</v>
      </c>
      <c r="I261" s="3">
        <v>2</v>
      </c>
      <c r="J261" s="3">
        <v>30</v>
      </c>
      <c r="K261" s="3">
        <v>60</v>
      </c>
      <c r="L261" s="3">
        <f t="shared" si="9"/>
        <v>0.76899225129315452</v>
      </c>
    </row>
    <row r="262" spans="1:12" x14ac:dyDescent="0.3">
      <c r="A262" s="3">
        <v>261</v>
      </c>
      <c r="B262" s="4">
        <v>45143</v>
      </c>
      <c r="C262" s="9" t="str">
        <f t="shared" si="8"/>
        <v>August</v>
      </c>
      <c r="D262" s="3" t="s">
        <v>274</v>
      </c>
      <c r="E262" s="3" t="s">
        <v>10</v>
      </c>
      <c r="F262" s="3">
        <v>21</v>
      </c>
      <c r="G262" s="8" t="str" cm="1">
        <f t="array" ref="G262">_xlfn.IFS(
    F262 &lt; 25, "Young",
    F262 &lt;= 40, "Mid-Age",
    F262 &gt; 40, "Old-Age"
)</f>
        <v>Young</v>
      </c>
      <c r="H262" s="3" t="s">
        <v>14</v>
      </c>
      <c r="I262" s="3">
        <v>2</v>
      </c>
      <c r="J262" s="3">
        <v>25</v>
      </c>
      <c r="K262" s="3">
        <v>50</v>
      </c>
      <c r="L262" s="3">
        <f t="shared" si="9"/>
        <v>0.76689660992615993</v>
      </c>
    </row>
    <row r="263" spans="1:12" x14ac:dyDescent="0.3">
      <c r="A263" s="3">
        <v>262</v>
      </c>
      <c r="B263" s="4">
        <v>45137</v>
      </c>
      <c r="C263" s="9" t="str">
        <f t="shared" si="8"/>
        <v>July</v>
      </c>
      <c r="D263" s="3" t="s">
        <v>275</v>
      </c>
      <c r="E263" s="3" t="s">
        <v>13</v>
      </c>
      <c r="F263" s="3">
        <v>32</v>
      </c>
      <c r="G263" s="8" t="str" cm="1">
        <f t="array" ref="G263">_xlfn.IFS(
    F263 &lt; 25, "Young",
    F263 &lt;= 40, "Mid-Age",
    F263 &gt; 40, "Old-Age"
)</f>
        <v>Mid-Age</v>
      </c>
      <c r="H263" s="3" t="s">
        <v>11</v>
      </c>
      <c r="I263" s="3">
        <v>4</v>
      </c>
      <c r="J263" s="3">
        <v>30</v>
      </c>
      <c r="K263" s="3">
        <v>120</v>
      </c>
      <c r="L263" s="3">
        <f t="shared" si="9"/>
        <v>0.7648230347197299</v>
      </c>
    </row>
    <row r="264" spans="1:12" x14ac:dyDescent="0.3">
      <c r="A264" s="3">
        <v>263</v>
      </c>
      <c r="B264" s="4">
        <v>45166</v>
      </c>
      <c r="C264" s="9" t="str">
        <f t="shared" si="8"/>
        <v>August</v>
      </c>
      <c r="D264" s="3" t="s">
        <v>276</v>
      </c>
      <c r="E264" s="3" t="s">
        <v>10</v>
      </c>
      <c r="F264" s="3">
        <v>23</v>
      </c>
      <c r="G264" s="8" t="str" cm="1">
        <f t="array" ref="G264">_xlfn.IFS(
    F264 &lt; 25, "Young",
    F264 &lt;= 40, "Mid-Age",
    F264 &gt; 40, "Old-Age"
)</f>
        <v>Young</v>
      </c>
      <c r="H264" s="3" t="s">
        <v>11</v>
      </c>
      <c r="I264" s="3">
        <v>2</v>
      </c>
      <c r="J264" s="3">
        <v>30</v>
      </c>
      <c r="K264" s="3">
        <v>60</v>
      </c>
      <c r="L264" s="3">
        <f t="shared" si="9"/>
        <v>0.76272082328729074</v>
      </c>
    </row>
    <row r="265" spans="1:12" x14ac:dyDescent="0.3">
      <c r="A265" s="3">
        <v>264</v>
      </c>
      <c r="B265" s="4">
        <v>44954</v>
      </c>
      <c r="C265" s="9" t="str">
        <f t="shared" si="8"/>
        <v>January</v>
      </c>
      <c r="D265" s="3" t="s">
        <v>277</v>
      </c>
      <c r="E265" s="3" t="s">
        <v>10</v>
      </c>
      <c r="F265" s="3">
        <v>47</v>
      </c>
      <c r="G265" s="8" t="str" cm="1">
        <f t="array" ref="G265">_xlfn.IFS(
    F265 &lt; 25, "Young",
    F265 &lt;= 40, "Mid-Age",
    F265 &gt; 40, "Old-Age"
)</f>
        <v>Old-Age</v>
      </c>
      <c r="H265" s="3" t="s">
        <v>14</v>
      </c>
      <c r="I265" s="3">
        <v>3</v>
      </c>
      <c r="J265" s="3">
        <v>300</v>
      </c>
      <c r="K265" s="3">
        <v>900</v>
      </c>
      <c r="L265" s="3">
        <f t="shared" si="9"/>
        <v>0.76061527625689429</v>
      </c>
    </row>
    <row r="266" spans="1:12" x14ac:dyDescent="0.3">
      <c r="A266" s="3">
        <v>265</v>
      </c>
      <c r="B266" s="4">
        <v>45271</v>
      </c>
      <c r="C266" s="9" t="str">
        <f t="shared" si="8"/>
        <v>December</v>
      </c>
      <c r="D266" s="3" t="s">
        <v>278</v>
      </c>
      <c r="E266" s="3" t="s">
        <v>10</v>
      </c>
      <c r="F266" s="3">
        <v>55</v>
      </c>
      <c r="G266" s="8" t="str" cm="1">
        <f t="array" ref="G266">_xlfn.IFS(
    F266 &lt; 25, "Young",
    F266 &lt;= 40, "Mid-Age",
    F266 &gt; 40, "Old-Age"
)</f>
        <v>Old-Age</v>
      </c>
      <c r="H266" s="3" t="s">
        <v>14</v>
      </c>
      <c r="I266" s="3">
        <v>3</v>
      </c>
      <c r="J266" s="3">
        <v>300</v>
      </c>
      <c r="K266" s="3">
        <v>900</v>
      </c>
      <c r="L266" s="3">
        <f t="shared" si="9"/>
        <v>0.76306508700465192</v>
      </c>
    </row>
    <row r="267" spans="1:12" x14ac:dyDescent="0.3">
      <c r="A267" s="3">
        <v>266</v>
      </c>
      <c r="B267" s="4">
        <v>45261</v>
      </c>
      <c r="C267" s="9" t="str">
        <f t="shared" si="8"/>
        <v>December</v>
      </c>
      <c r="D267" s="3" t="s">
        <v>279</v>
      </c>
      <c r="E267" s="3" t="s">
        <v>13</v>
      </c>
      <c r="F267" s="3">
        <v>19</v>
      </c>
      <c r="G267" s="8" t="str" cm="1">
        <f t="array" ref="G267">_xlfn.IFS(
    F267 &lt; 25, "Young",
    F267 &lt;= 40, "Mid-Age",
    F267 &gt; 40, "Old-Age"
)</f>
        <v>Young</v>
      </c>
      <c r="H267" s="3" t="s">
        <v>16</v>
      </c>
      <c r="I267" s="3">
        <v>2</v>
      </c>
      <c r="J267" s="3">
        <v>30</v>
      </c>
      <c r="K267" s="3">
        <v>60</v>
      </c>
      <c r="L267" s="3">
        <f t="shared" si="9"/>
        <v>0.76552152958910613</v>
      </c>
    </row>
    <row r="268" spans="1:12" x14ac:dyDescent="0.3">
      <c r="A268" s="3">
        <v>267</v>
      </c>
      <c r="B268" s="4">
        <v>45257</v>
      </c>
      <c r="C268" s="9" t="str">
        <f t="shared" si="8"/>
        <v>November</v>
      </c>
      <c r="D268" s="3" t="s">
        <v>280</v>
      </c>
      <c r="E268" s="3" t="s">
        <v>13</v>
      </c>
      <c r="F268" s="3">
        <v>32</v>
      </c>
      <c r="G268" s="8" t="str" cm="1">
        <f t="array" ref="G268">_xlfn.IFS(
    F268 &lt; 25, "Young",
    F268 &lt;= 40, "Mid-Age",
    F268 &gt; 40, "Old-Age"
)</f>
        <v>Mid-Age</v>
      </c>
      <c r="H268" s="3" t="s">
        <v>11</v>
      </c>
      <c r="I268" s="3">
        <v>3</v>
      </c>
      <c r="J268" s="3">
        <v>30</v>
      </c>
      <c r="K268" s="3">
        <v>90</v>
      </c>
      <c r="L268" s="3">
        <f t="shared" si="9"/>
        <v>0.76340767594214654</v>
      </c>
    </row>
    <row r="269" spans="1:12" x14ac:dyDescent="0.3">
      <c r="A269" s="3">
        <v>268</v>
      </c>
      <c r="B269" s="4">
        <v>44977</v>
      </c>
      <c r="C269" s="9" t="str">
        <f t="shared" si="8"/>
        <v>February</v>
      </c>
      <c r="D269" s="3" t="s">
        <v>281</v>
      </c>
      <c r="E269" s="3" t="s">
        <v>13</v>
      </c>
      <c r="F269" s="3">
        <v>28</v>
      </c>
      <c r="G269" s="8" t="str" cm="1">
        <f t="array" ref="G269">_xlfn.IFS(
    F269 &lt; 25, "Young",
    F269 &lt;= 40, "Mid-Age",
    F269 &gt; 40, "Old-Age"
)</f>
        <v>Mid-Age</v>
      </c>
      <c r="H269" s="3" t="s">
        <v>16</v>
      </c>
      <c r="I269" s="3">
        <v>1</v>
      </c>
      <c r="J269" s="3">
        <v>30</v>
      </c>
      <c r="K269" s="3">
        <v>30</v>
      </c>
      <c r="L269" s="3">
        <f t="shared" si="9"/>
        <v>0.76129044963678105</v>
      </c>
    </row>
    <row r="270" spans="1:12" x14ac:dyDescent="0.3">
      <c r="A270" s="3">
        <v>269</v>
      </c>
      <c r="B270" s="4">
        <v>44958</v>
      </c>
      <c r="C270" s="9" t="str">
        <f t="shared" si="8"/>
        <v>February</v>
      </c>
      <c r="D270" s="3" t="s">
        <v>282</v>
      </c>
      <c r="E270" s="3" t="s">
        <v>10</v>
      </c>
      <c r="F270" s="3">
        <v>25</v>
      </c>
      <c r="G270" s="8" t="str" cm="1">
        <f t="array" ref="G270">_xlfn.IFS(
    F270 &lt; 25, "Young",
    F270 &lt;= 40, "Mid-Age",
    F270 &gt; 40, "Old-Age"
)</f>
        <v>Mid-Age</v>
      </c>
      <c r="H270" s="3" t="s">
        <v>14</v>
      </c>
      <c r="I270" s="3">
        <v>4</v>
      </c>
      <c r="J270" s="3">
        <v>500</v>
      </c>
      <c r="K270" s="3">
        <v>2000</v>
      </c>
      <c r="L270" s="3">
        <f t="shared" si="9"/>
        <v>0.7591698372489657</v>
      </c>
    </row>
    <row r="271" spans="1:12" x14ac:dyDescent="0.3">
      <c r="A271" s="3">
        <v>270</v>
      </c>
      <c r="B271" s="4">
        <v>45133</v>
      </c>
      <c r="C271" s="9" t="str">
        <f t="shared" si="8"/>
        <v>July</v>
      </c>
      <c r="D271" s="3" t="s">
        <v>283</v>
      </c>
      <c r="E271" s="3" t="s">
        <v>10</v>
      </c>
      <c r="F271" s="3">
        <v>43</v>
      </c>
      <c r="G271" s="8" t="str" cm="1">
        <f t="array" ref="G271">_xlfn.IFS(
    F271 &lt; 25, "Young",
    F271 &lt;= 40, "Mid-Age",
    F271 &gt; 40, "Old-Age"
)</f>
        <v>Old-Age</v>
      </c>
      <c r="H271" s="3" t="s">
        <v>16</v>
      </c>
      <c r="I271" s="3">
        <v>1</v>
      </c>
      <c r="J271" s="3">
        <v>300</v>
      </c>
      <c r="K271" s="3">
        <v>300</v>
      </c>
      <c r="L271" s="3">
        <f t="shared" si="9"/>
        <v>0.76336814996612368</v>
      </c>
    </row>
    <row r="272" spans="1:12" x14ac:dyDescent="0.3">
      <c r="A272" s="3">
        <v>271</v>
      </c>
      <c r="B272" s="4">
        <v>45100</v>
      </c>
      <c r="C272" s="9" t="str">
        <f t="shared" si="8"/>
        <v>June</v>
      </c>
      <c r="D272" s="3" t="s">
        <v>284</v>
      </c>
      <c r="E272" s="3" t="s">
        <v>13</v>
      </c>
      <c r="F272" s="3">
        <v>62</v>
      </c>
      <c r="G272" s="8" t="str" cm="1">
        <f t="array" ref="G272">_xlfn.IFS(
    F272 &lt; 25, "Young",
    F272 &lt;= 40, "Mid-Age",
    F272 &gt; 40, "Old-Age"
)</f>
        <v>Old-Age</v>
      </c>
      <c r="H272" s="3" t="s">
        <v>11</v>
      </c>
      <c r="I272" s="3">
        <v>4</v>
      </c>
      <c r="J272" s="3">
        <v>30</v>
      </c>
      <c r="K272" s="3">
        <v>120</v>
      </c>
      <c r="L272" s="3">
        <f t="shared" si="9"/>
        <v>0.76584220018704385</v>
      </c>
    </row>
    <row r="273" spans="1:12" x14ac:dyDescent="0.3">
      <c r="A273" s="3">
        <v>272</v>
      </c>
      <c r="B273" s="4">
        <v>44982</v>
      </c>
      <c r="C273" s="9" t="str">
        <f t="shared" si="8"/>
        <v>February</v>
      </c>
      <c r="D273" s="3" t="s">
        <v>285</v>
      </c>
      <c r="E273" s="3" t="s">
        <v>13</v>
      </c>
      <c r="F273" s="3">
        <v>61</v>
      </c>
      <c r="G273" s="8" t="str" cm="1">
        <f t="array" ref="G273">_xlfn.IFS(
    F273 &lt; 25, "Young",
    F273 &lt;= 40, "Mid-Age",
    F273 &gt; 40, "Old-Age"
)</f>
        <v>Old-Age</v>
      </c>
      <c r="H273" s="3" t="s">
        <v>16</v>
      </c>
      <c r="I273" s="3">
        <v>2</v>
      </c>
      <c r="J273" s="3">
        <v>50</v>
      </c>
      <c r="K273" s="3">
        <v>100</v>
      </c>
      <c r="L273" s="3">
        <f t="shared" si="9"/>
        <v>0.76371406558180288</v>
      </c>
    </row>
    <row r="274" spans="1:12" x14ac:dyDescent="0.3">
      <c r="A274" s="3">
        <v>273</v>
      </c>
      <c r="B274" s="4">
        <v>45054</v>
      </c>
      <c r="C274" s="9" t="str">
        <f t="shared" si="8"/>
        <v>May</v>
      </c>
      <c r="D274" s="3" t="s">
        <v>286</v>
      </c>
      <c r="E274" s="3" t="s">
        <v>13</v>
      </c>
      <c r="F274" s="3">
        <v>22</v>
      </c>
      <c r="G274" s="8" t="str" cm="1">
        <f t="array" ref="G274">_xlfn.IFS(
    F274 &lt; 25, "Young",
    F274 &lt;= 40, "Mid-Age",
    F274 &gt; 40, "Old-Age"
)</f>
        <v>Young</v>
      </c>
      <c r="H274" s="3" t="s">
        <v>11</v>
      </c>
      <c r="I274" s="3">
        <v>1</v>
      </c>
      <c r="J274" s="3">
        <v>50</v>
      </c>
      <c r="K274" s="3">
        <v>50</v>
      </c>
      <c r="L274" s="3">
        <f t="shared" si="9"/>
        <v>0.76154602387428638</v>
      </c>
    </row>
    <row r="275" spans="1:12" x14ac:dyDescent="0.3">
      <c r="A275" s="3">
        <v>274</v>
      </c>
      <c r="B275" s="4">
        <v>45025</v>
      </c>
      <c r="C275" s="9" t="str">
        <f t="shared" si="8"/>
        <v>April</v>
      </c>
      <c r="D275" s="3" t="s">
        <v>287</v>
      </c>
      <c r="E275" s="3" t="s">
        <v>13</v>
      </c>
      <c r="F275" s="3">
        <v>23</v>
      </c>
      <c r="G275" s="8" t="str" cm="1">
        <f t="array" ref="G275">_xlfn.IFS(
    F275 &lt; 25, "Young",
    F275 &lt;= 40, "Mid-Age",
    F275 &gt; 40, "Old-Age"
)</f>
        <v>Young</v>
      </c>
      <c r="H275" s="3" t="s">
        <v>14</v>
      </c>
      <c r="I275" s="3">
        <v>2</v>
      </c>
      <c r="J275" s="3">
        <v>500</v>
      </c>
      <c r="K275" s="3">
        <v>1000</v>
      </c>
      <c r="L275" s="3">
        <f t="shared" si="9"/>
        <v>0.75937435778974338</v>
      </c>
    </row>
    <row r="276" spans="1:12" x14ac:dyDescent="0.3">
      <c r="A276" s="3">
        <v>275</v>
      </c>
      <c r="B276" s="4">
        <v>45024</v>
      </c>
      <c r="C276" s="9" t="str">
        <f t="shared" si="8"/>
        <v>April</v>
      </c>
      <c r="D276" s="3" t="s">
        <v>288</v>
      </c>
      <c r="E276" s="3" t="s">
        <v>10</v>
      </c>
      <c r="F276" s="3">
        <v>43</v>
      </c>
      <c r="G276" s="8" t="str" cm="1">
        <f t="array" ref="G276">_xlfn.IFS(
    F276 &lt; 25, "Young",
    F276 &lt;= 40, "Mid-Age",
    F276 &gt; 40, "Old-Age"
)</f>
        <v>Old-Age</v>
      </c>
      <c r="H276" s="3" t="s">
        <v>14</v>
      </c>
      <c r="I276" s="3">
        <v>2</v>
      </c>
      <c r="J276" s="3">
        <v>500</v>
      </c>
      <c r="K276" s="3">
        <v>1000</v>
      </c>
      <c r="L276" s="3">
        <f t="shared" si="9"/>
        <v>0.76360215250094032</v>
      </c>
    </row>
    <row r="277" spans="1:12" x14ac:dyDescent="0.3">
      <c r="A277" s="3">
        <v>276</v>
      </c>
      <c r="B277" s="4">
        <v>45201</v>
      </c>
      <c r="C277" s="9" t="str">
        <f t="shared" si="8"/>
        <v>October</v>
      </c>
      <c r="D277" s="3" t="s">
        <v>289</v>
      </c>
      <c r="E277" s="3" t="s">
        <v>13</v>
      </c>
      <c r="F277" s="3">
        <v>21</v>
      </c>
      <c r="G277" s="8" t="str" cm="1">
        <f t="array" ref="G277">_xlfn.IFS(
    F277 &lt; 25, "Young",
    F277 &lt;= 40, "Mid-Age",
    F277 &gt; 40, "Old-Age"
)</f>
        <v>Young</v>
      </c>
      <c r="H277" s="3" t="s">
        <v>11</v>
      </c>
      <c r="I277" s="3">
        <v>4</v>
      </c>
      <c r="J277" s="3">
        <v>25</v>
      </c>
      <c r="K277" s="3">
        <v>100</v>
      </c>
      <c r="L277" s="3">
        <f t="shared" si="9"/>
        <v>0.7678460954441374</v>
      </c>
    </row>
    <row r="278" spans="1:12" x14ac:dyDescent="0.3">
      <c r="A278" s="3">
        <v>277</v>
      </c>
      <c r="B278" s="4">
        <v>45156</v>
      </c>
      <c r="C278" s="9" t="str">
        <f t="shared" si="8"/>
        <v>August</v>
      </c>
      <c r="D278" s="3" t="s">
        <v>290</v>
      </c>
      <c r="E278" s="3" t="s">
        <v>10</v>
      </c>
      <c r="F278" s="3">
        <v>36</v>
      </c>
      <c r="G278" s="8" t="str" cm="1">
        <f t="array" ref="G278">_xlfn.IFS(
    F278 &lt; 25, "Young",
    F278 &lt;= 40, "Mid-Age",
    F278 &gt; 40, "Old-Age"
)</f>
        <v>Mid-Age</v>
      </c>
      <c r="H278" s="3" t="s">
        <v>14</v>
      </c>
      <c r="I278" s="3">
        <v>4</v>
      </c>
      <c r="J278" s="3">
        <v>25</v>
      </c>
      <c r="K278" s="3">
        <v>100</v>
      </c>
      <c r="L278" s="3">
        <f t="shared" si="9"/>
        <v>0.76572989999134511</v>
      </c>
    </row>
    <row r="279" spans="1:12" x14ac:dyDescent="0.3">
      <c r="A279" s="3">
        <v>278</v>
      </c>
      <c r="B279" s="4">
        <v>44998</v>
      </c>
      <c r="C279" s="9" t="str">
        <f t="shared" si="8"/>
        <v>March</v>
      </c>
      <c r="D279" s="3" t="s">
        <v>291</v>
      </c>
      <c r="E279" s="3" t="s">
        <v>13</v>
      </c>
      <c r="F279" s="3">
        <v>37</v>
      </c>
      <c r="G279" s="8" t="str" cm="1">
        <f t="array" ref="G279">_xlfn.IFS(
    F279 &lt; 25, "Young",
    F279 &lt;= 40, "Mid-Age",
    F279 &gt; 40, "Old-Age"
)</f>
        <v>Mid-Age</v>
      </c>
      <c r="H279" s="3" t="s">
        <v>14</v>
      </c>
      <c r="I279" s="3">
        <v>4</v>
      </c>
      <c r="J279" s="3">
        <v>25</v>
      </c>
      <c r="K279" s="3">
        <v>100</v>
      </c>
      <c r="L279" s="3">
        <f t="shared" si="9"/>
        <v>0.76361039389727881</v>
      </c>
    </row>
    <row r="280" spans="1:12" x14ac:dyDescent="0.3">
      <c r="A280" s="3">
        <v>279</v>
      </c>
      <c r="B280" s="4">
        <v>45143</v>
      </c>
      <c r="C280" s="9" t="str">
        <f t="shared" si="8"/>
        <v>August</v>
      </c>
      <c r="D280" s="3" t="s">
        <v>292</v>
      </c>
      <c r="E280" s="3" t="s">
        <v>10</v>
      </c>
      <c r="F280" s="3">
        <v>50</v>
      </c>
      <c r="G280" s="8" t="str" cm="1">
        <f t="array" ref="G280">_xlfn.IFS(
    F280 &lt; 25, "Young",
    F280 &lt;= 40, "Mid-Age",
    F280 &gt; 40, "Old-Age"
)</f>
        <v>Old-Age</v>
      </c>
      <c r="H280" s="3" t="s">
        <v>14</v>
      </c>
      <c r="I280" s="3">
        <v>1</v>
      </c>
      <c r="J280" s="3">
        <v>500</v>
      </c>
      <c r="K280" s="3">
        <v>500</v>
      </c>
      <c r="L280" s="3">
        <f t="shared" si="9"/>
        <v>0.7614875645599094</v>
      </c>
    </row>
    <row r="281" spans="1:12" x14ac:dyDescent="0.3">
      <c r="A281" s="3">
        <v>280</v>
      </c>
      <c r="B281" s="4">
        <v>45020</v>
      </c>
      <c r="C281" s="9" t="str">
        <f t="shared" si="8"/>
        <v>April</v>
      </c>
      <c r="D281" s="3" t="s">
        <v>293</v>
      </c>
      <c r="E281" s="3" t="s">
        <v>13</v>
      </c>
      <c r="F281" s="3">
        <v>37</v>
      </c>
      <c r="G281" s="8" t="str" cm="1">
        <f t="array" ref="G281">_xlfn.IFS(
    F281 &lt; 25, "Young",
    F281 &lt;= 40, "Mid-Age",
    F281 &gt; 40, "Old-Age"
)</f>
        <v>Mid-Age</v>
      </c>
      <c r="H281" s="3" t="s">
        <v>14</v>
      </c>
      <c r="I281" s="3">
        <v>3</v>
      </c>
      <c r="J281" s="3">
        <v>500</v>
      </c>
      <c r="K281" s="3">
        <v>1500</v>
      </c>
      <c r="L281" s="3">
        <f t="shared" si="9"/>
        <v>0.76574306293520977</v>
      </c>
    </row>
    <row r="282" spans="1:12" x14ac:dyDescent="0.3">
      <c r="A282" s="3">
        <v>281</v>
      </c>
      <c r="B282" s="4">
        <v>45069</v>
      </c>
      <c r="C282" s="9" t="str">
        <f t="shared" si="8"/>
        <v>May</v>
      </c>
      <c r="D282" s="3" t="s">
        <v>294</v>
      </c>
      <c r="E282" s="3" t="s">
        <v>13</v>
      </c>
      <c r="F282" s="3">
        <v>29</v>
      </c>
      <c r="G282" s="8" t="str" cm="1">
        <f t="array" ref="G282">_xlfn.IFS(
    F282 &lt; 25, "Young",
    F282 &lt;= 40, "Mid-Age",
    F282 &gt; 40, "Old-Age"
)</f>
        <v>Mid-Age</v>
      </c>
      <c r="H282" s="3" t="s">
        <v>11</v>
      </c>
      <c r="I282" s="3">
        <v>4</v>
      </c>
      <c r="J282" s="3">
        <v>500</v>
      </c>
      <c r="K282" s="3">
        <v>2000</v>
      </c>
      <c r="L282" s="3">
        <f t="shared" si="9"/>
        <v>0.77001479251834637</v>
      </c>
    </row>
    <row r="283" spans="1:12" x14ac:dyDescent="0.3">
      <c r="A283" s="3">
        <v>282</v>
      </c>
      <c r="B283" s="4">
        <v>45163</v>
      </c>
      <c r="C283" s="9" t="str">
        <f t="shared" si="8"/>
        <v>August</v>
      </c>
      <c r="D283" s="3" t="s">
        <v>295</v>
      </c>
      <c r="E283" s="3" t="s">
        <v>13</v>
      </c>
      <c r="F283" s="3">
        <v>64</v>
      </c>
      <c r="G283" s="8" t="str" cm="1">
        <f t="array" ref="G283">_xlfn.IFS(
    F283 &lt; 25, "Young",
    F283 &lt;= 40, "Mid-Age",
    F283 &gt; 40, "Old-Age"
)</f>
        <v>Old-Age</v>
      </c>
      <c r="H283" s="3" t="s">
        <v>16</v>
      </c>
      <c r="I283" s="3">
        <v>4</v>
      </c>
      <c r="J283" s="3">
        <v>50</v>
      </c>
      <c r="K283" s="3">
        <v>200</v>
      </c>
      <c r="L283" s="3">
        <f t="shared" si="9"/>
        <v>0.77430281437836201</v>
      </c>
    </row>
    <row r="284" spans="1:12" x14ac:dyDescent="0.3">
      <c r="A284" s="3">
        <v>283</v>
      </c>
      <c r="B284" s="4">
        <v>45054</v>
      </c>
      <c r="C284" s="9" t="str">
        <f t="shared" si="8"/>
        <v>May</v>
      </c>
      <c r="D284" s="3" t="s">
        <v>296</v>
      </c>
      <c r="E284" s="3" t="s">
        <v>13</v>
      </c>
      <c r="F284" s="3">
        <v>18</v>
      </c>
      <c r="G284" s="8" t="str" cm="1">
        <f t="array" ref="G284">_xlfn.IFS(
    F284 &lt; 25, "Young",
    F284 &lt;= 40, "Mid-Age",
    F284 &gt; 40, "Old-Age"
)</f>
        <v>Young</v>
      </c>
      <c r="H284" s="3" t="s">
        <v>16</v>
      </c>
      <c r="I284" s="3">
        <v>1</v>
      </c>
      <c r="J284" s="3">
        <v>500</v>
      </c>
      <c r="K284" s="3">
        <v>500</v>
      </c>
      <c r="L284" s="3">
        <f t="shared" si="9"/>
        <v>0.77210763987410203</v>
      </c>
    </row>
    <row r="285" spans="1:12" x14ac:dyDescent="0.3">
      <c r="A285" s="3">
        <v>284</v>
      </c>
      <c r="B285" s="4">
        <v>44965</v>
      </c>
      <c r="C285" s="9" t="str">
        <f t="shared" si="8"/>
        <v>February</v>
      </c>
      <c r="D285" s="3" t="s">
        <v>297</v>
      </c>
      <c r="E285" s="3" t="s">
        <v>10</v>
      </c>
      <c r="F285" s="3">
        <v>43</v>
      </c>
      <c r="G285" s="8" t="str" cm="1">
        <f t="array" ref="G285">_xlfn.IFS(
    F285 &lt; 25, "Young",
    F285 &lt;= 40, "Mid-Age",
    F285 &gt; 40, "Old-Age"
)</f>
        <v>Old-Age</v>
      </c>
      <c r="H285" s="3" t="s">
        <v>14</v>
      </c>
      <c r="I285" s="3">
        <v>4</v>
      </c>
      <c r="J285" s="3">
        <v>50</v>
      </c>
      <c r="K285" s="3">
        <v>200</v>
      </c>
      <c r="L285" s="3">
        <f t="shared" si="9"/>
        <v>0.7764102047960828</v>
      </c>
    </row>
    <row r="286" spans="1:12" x14ac:dyDescent="0.3">
      <c r="A286" s="3">
        <v>285</v>
      </c>
      <c r="B286" s="4">
        <v>45153</v>
      </c>
      <c r="C286" s="9" t="str">
        <f t="shared" si="8"/>
        <v>August</v>
      </c>
      <c r="D286" s="3" t="s">
        <v>298</v>
      </c>
      <c r="E286" s="3" t="s">
        <v>13</v>
      </c>
      <c r="F286" s="3">
        <v>31</v>
      </c>
      <c r="G286" s="8" t="str" cm="1">
        <f t="array" ref="G286">_xlfn.IFS(
    F286 &lt; 25, "Young",
    F286 &lt;= 40, "Mid-Age",
    F286 &gt; 40, "Old-Age"
)</f>
        <v>Mid-Age</v>
      </c>
      <c r="H286" s="3" t="s">
        <v>16</v>
      </c>
      <c r="I286" s="3">
        <v>1</v>
      </c>
      <c r="J286" s="3">
        <v>25</v>
      </c>
      <c r="K286" s="3">
        <v>25</v>
      </c>
      <c r="L286" s="3">
        <f t="shared" si="9"/>
        <v>0.77420952255267761</v>
      </c>
    </row>
    <row r="287" spans="1:12" x14ac:dyDescent="0.3">
      <c r="A287" s="3">
        <v>286</v>
      </c>
      <c r="B287" s="4">
        <v>45208</v>
      </c>
      <c r="C287" s="9" t="str">
        <f t="shared" si="8"/>
        <v>October</v>
      </c>
      <c r="D287" s="3" t="s">
        <v>299</v>
      </c>
      <c r="E287" s="3" t="s">
        <v>10</v>
      </c>
      <c r="F287" s="3">
        <v>55</v>
      </c>
      <c r="G287" s="8" t="str" cm="1">
        <f t="array" ref="G287">_xlfn.IFS(
    F287 &lt; 25, "Young",
    F287 &lt;= 40, "Mid-Age",
    F287 &gt; 40, "Old-Age"
)</f>
        <v>Old-Age</v>
      </c>
      <c r="H287" s="3" t="s">
        <v>16</v>
      </c>
      <c r="I287" s="3">
        <v>2</v>
      </c>
      <c r="J287" s="3">
        <v>25</v>
      </c>
      <c r="K287" s="3">
        <v>50</v>
      </c>
      <c r="L287" s="3">
        <f t="shared" si="9"/>
        <v>0.77206960792896195</v>
      </c>
    </row>
    <row r="288" spans="1:12" x14ac:dyDescent="0.3">
      <c r="A288" s="3">
        <v>287</v>
      </c>
      <c r="B288" s="4">
        <v>44977</v>
      </c>
      <c r="C288" s="9" t="str">
        <f t="shared" si="8"/>
        <v>February</v>
      </c>
      <c r="D288" s="3" t="s">
        <v>300</v>
      </c>
      <c r="E288" s="3" t="s">
        <v>10</v>
      </c>
      <c r="F288" s="3">
        <v>54</v>
      </c>
      <c r="G288" s="8" t="str" cm="1">
        <f t="array" ref="G288">_xlfn.IFS(
    F288 &lt; 25, "Young",
    F288 &lt;= 40, "Mid-Age",
    F288 &gt; 40, "Old-Age"
)</f>
        <v>Old-Age</v>
      </c>
      <c r="H288" s="3" t="s">
        <v>14</v>
      </c>
      <c r="I288" s="3">
        <v>4</v>
      </c>
      <c r="J288" s="3">
        <v>25</v>
      </c>
      <c r="K288" s="3">
        <v>100</v>
      </c>
      <c r="L288" s="3">
        <f t="shared" si="9"/>
        <v>0.76992631963739389</v>
      </c>
    </row>
    <row r="289" spans="1:12" x14ac:dyDescent="0.3">
      <c r="A289" s="3">
        <v>288</v>
      </c>
      <c r="B289" s="4">
        <v>44952</v>
      </c>
      <c r="C289" s="9" t="str">
        <f t="shared" si="8"/>
        <v>January</v>
      </c>
      <c r="D289" s="3" t="s">
        <v>301</v>
      </c>
      <c r="E289" s="3" t="s">
        <v>10</v>
      </c>
      <c r="F289" s="3">
        <v>28</v>
      </c>
      <c r="G289" s="8" t="str" cm="1">
        <f t="array" ref="G289">_xlfn.IFS(
    F289 &lt; 25, "Young",
    F289 &lt;= 40, "Mid-Age",
    F289 &gt; 40, "Old-Age"
)</f>
        <v>Mid-Age</v>
      </c>
      <c r="H289" s="3" t="s">
        <v>14</v>
      </c>
      <c r="I289" s="3">
        <v>4</v>
      </c>
      <c r="J289" s="3">
        <v>30</v>
      </c>
      <c r="K289" s="3">
        <v>120</v>
      </c>
      <c r="L289" s="3">
        <f t="shared" si="9"/>
        <v>0.76777964474076965</v>
      </c>
    </row>
    <row r="290" spans="1:12" x14ac:dyDescent="0.3">
      <c r="A290" s="3">
        <v>289</v>
      </c>
      <c r="B290" s="4">
        <v>45260</v>
      </c>
      <c r="C290" s="9" t="str">
        <f t="shared" si="8"/>
        <v>November</v>
      </c>
      <c r="D290" s="3" t="s">
        <v>302</v>
      </c>
      <c r="E290" s="3" t="s">
        <v>10</v>
      </c>
      <c r="F290" s="3">
        <v>53</v>
      </c>
      <c r="G290" s="8" t="str" cm="1">
        <f t="array" ref="G290">_xlfn.IFS(
    F290 &lt; 25, "Young",
    F290 &lt;= 40, "Mid-Age",
    F290 &gt; 40, "Old-Age"
)</f>
        <v>Old-Age</v>
      </c>
      <c r="H290" s="3" t="s">
        <v>16</v>
      </c>
      <c r="I290" s="3">
        <v>2</v>
      </c>
      <c r="J290" s="3">
        <v>30</v>
      </c>
      <c r="K290" s="3">
        <v>60</v>
      </c>
      <c r="L290" s="3">
        <f t="shared" si="9"/>
        <v>0.7656026915126638</v>
      </c>
    </row>
    <row r="291" spans="1:12" x14ac:dyDescent="0.3">
      <c r="A291" s="3">
        <v>290</v>
      </c>
      <c r="B291" s="4">
        <v>45203</v>
      </c>
      <c r="C291" s="9" t="str">
        <f t="shared" si="8"/>
        <v>October</v>
      </c>
      <c r="D291" s="3" t="s">
        <v>303</v>
      </c>
      <c r="E291" s="3" t="s">
        <v>13</v>
      </c>
      <c r="F291" s="3">
        <v>30</v>
      </c>
      <c r="G291" s="8" t="str" cm="1">
        <f t="array" ref="G291">_xlfn.IFS(
    F291 &lt; 25, "Young",
    F291 &lt;= 40, "Mid-Age",
    F291 &gt; 40, "Old-Age"
)</f>
        <v>Mid-Age</v>
      </c>
      <c r="H291" s="3" t="s">
        <v>11</v>
      </c>
      <c r="I291" s="3">
        <v>2</v>
      </c>
      <c r="J291" s="3">
        <v>300</v>
      </c>
      <c r="K291" s="3">
        <v>600</v>
      </c>
      <c r="L291" s="3">
        <f t="shared" si="9"/>
        <v>0.76342216789360595</v>
      </c>
    </row>
    <row r="292" spans="1:12" x14ac:dyDescent="0.3">
      <c r="A292" s="3">
        <v>291</v>
      </c>
      <c r="B292" s="4">
        <v>44934</v>
      </c>
      <c r="C292" s="9" t="str">
        <f t="shared" si="8"/>
        <v>January</v>
      </c>
      <c r="D292" s="3" t="s">
        <v>304</v>
      </c>
      <c r="E292" s="3" t="s">
        <v>10</v>
      </c>
      <c r="F292" s="3">
        <v>60</v>
      </c>
      <c r="G292" s="8" t="str" cm="1">
        <f t="array" ref="G292">_xlfn.IFS(
    F292 &lt; 25, "Young",
    F292 &lt;= 40, "Mid-Age",
    F292 &gt; 40, "Old-Age"
)</f>
        <v>Old-Age</v>
      </c>
      <c r="H292" s="3" t="s">
        <v>14</v>
      </c>
      <c r="I292" s="3">
        <v>2</v>
      </c>
      <c r="J292" s="3">
        <v>300</v>
      </c>
      <c r="K292" s="3">
        <v>600</v>
      </c>
      <c r="L292" s="3">
        <f t="shared" si="9"/>
        <v>0.76598539219833994</v>
      </c>
    </row>
    <row r="293" spans="1:12" x14ac:dyDescent="0.3">
      <c r="A293" s="3">
        <v>292</v>
      </c>
      <c r="B293" s="4">
        <v>44974</v>
      </c>
      <c r="C293" s="9" t="str">
        <f t="shared" si="8"/>
        <v>February</v>
      </c>
      <c r="D293" s="3" t="s">
        <v>305</v>
      </c>
      <c r="E293" s="3" t="s">
        <v>10</v>
      </c>
      <c r="F293" s="3">
        <v>20</v>
      </c>
      <c r="G293" s="8" t="str" cm="1">
        <f t="array" ref="G293">_xlfn.IFS(
    F293 &lt; 25, "Young",
    F293 &lt;= 40, "Mid-Age",
    F293 &gt; 40, "Old-Age"
)</f>
        <v>Young</v>
      </c>
      <c r="H293" s="3" t="s">
        <v>11</v>
      </c>
      <c r="I293" s="3">
        <v>4</v>
      </c>
      <c r="J293" s="3">
        <v>300</v>
      </c>
      <c r="K293" s="3">
        <v>1200</v>
      </c>
      <c r="L293" s="3">
        <f t="shared" si="9"/>
        <v>0.76855585356388689</v>
      </c>
    </row>
    <row r="294" spans="1:12" x14ac:dyDescent="0.3">
      <c r="A294" s="3">
        <v>293</v>
      </c>
      <c r="B294" s="4">
        <v>45048</v>
      </c>
      <c r="C294" s="9" t="str">
        <f t="shared" si="8"/>
        <v>May</v>
      </c>
      <c r="D294" s="3" t="s">
        <v>306</v>
      </c>
      <c r="E294" s="3" t="s">
        <v>10</v>
      </c>
      <c r="F294" s="3">
        <v>50</v>
      </c>
      <c r="G294" s="8" t="str" cm="1">
        <f t="array" ref="G294">_xlfn.IFS(
    F294 &lt; 25, "Young",
    F294 &lt;= 40, "Mid-Age",
    F294 &gt; 40, "Old-Age"
)</f>
        <v>Old-Age</v>
      </c>
      <c r="H294" s="3" t="s">
        <v>16</v>
      </c>
      <c r="I294" s="3">
        <v>3</v>
      </c>
      <c r="J294" s="3">
        <v>30</v>
      </c>
      <c r="K294" s="3">
        <v>90</v>
      </c>
      <c r="L294" s="3">
        <f t="shared" si="9"/>
        <v>0.77113359201243781</v>
      </c>
    </row>
    <row r="295" spans="1:12" x14ac:dyDescent="0.3">
      <c r="A295" s="3">
        <v>294</v>
      </c>
      <c r="B295" s="4">
        <v>45012</v>
      </c>
      <c r="C295" s="9" t="str">
        <f t="shared" si="8"/>
        <v>March</v>
      </c>
      <c r="D295" s="3" t="s">
        <v>307</v>
      </c>
      <c r="E295" s="3" t="s">
        <v>13</v>
      </c>
      <c r="F295" s="3">
        <v>23</v>
      </c>
      <c r="G295" s="8" t="str" cm="1">
        <f t="array" ref="G295">_xlfn.IFS(
    F295 &lt; 25, "Young",
    F295 &lt;= 40, "Mid-Age",
    F295 &gt; 40, "Old-Age"
)</f>
        <v>Young</v>
      </c>
      <c r="H295" s="3" t="s">
        <v>14</v>
      </c>
      <c r="I295" s="3">
        <v>3</v>
      </c>
      <c r="J295" s="3">
        <v>30</v>
      </c>
      <c r="K295" s="3">
        <v>90</v>
      </c>
      <c r="L295" s="3">
        <f t="shared" si="9"/>
        <v>0.76894147664413848</v>
      </c>
    </row>
    <row r="296" spans="1:12" x14ac:dyDescent="0.3">
      <c r="A296" s="3">
        <v>295</v>
      </c>
      <c r="B296" s="4">
        <v>45135</v>
      </c>
      <c r="C296" s="9" t="str">
        <f t="shared" si="8"/>
        <v>July</v>
      </c>
      <c r="D296" s="3" t="s">
        <v>308</v>
      </c>
      <c r="E296" s="3" t="s">
        <v>13</v>
      </c>
      <c r="F296" s="3">
        <v>27</v>
      </c>
      <c r="G296" s="8" t="str" cm="1">
        <f t="array" ref="G296">_xlfn.IFS(
    F296 &lt; 25, "Young",
    F296 &lt;= 40, "Mid-Age",
    F296 &gt; 40, "Old-Age"
)</f>
        <v>Mid-Age</v>
      </c>
      <c r="H296" s="3" t="s">
        <v>11</v>
      </c>
      <c r="I296" s="3">
        <v>3</v>
      </c>
      <c r="J296" s="3">
        <v>300</v>
      </c>
      <c r="K296" s="3">
        <v>900</v>
      </c>
      <c r="L296" s="3">
        <f t="shared" si="9"/>
        <v>0.76674574399389472</v>
      </c>
    </row>
    <row r="297" spans="1:12" x14ac:dyDescent="0.3">
      <c r="A297" s="3">
        <v>296</v>
      </c>
      <c r="B297" s="4">
        <v>45175</v>
      </c>
      <c r="C297" s="9" t="str">
        <f t="shared" si="8"/>
        <v>September</v>
      </c>
      <c r="D297" s="3" t="s">
        <v>309</v>
      </c>
      <c r="E297" s="3" t="s">
        <v>13</v>
      </c>
      <c r="F297" s="3">
        <v>22</v>
      </c>
      <c r="G297" s="8" t="str" cm="1">
        <f t="array" ref="G297">_xlfn.IFS(
    F297 &lt; 25, "Young",
    F297 &lt;= 40, "Mid-Age",
    F297 &gt; 40, "Old-Age"
)</f>
        <v>Young</v>
      </c>
      <c r="H297" s="3" t="s">
        <v>14</v>
      </c>
      <c r="I297" s="3">
        <v>4</v>
      </c>
      <c r="J297" s="3">
        <v>300</v>
      </c>
      <c r="K297" s="3">
        <v>1200</v>
      </c>
      <c r="L297" s="3">
        <f t="shared" si="9"/>
        <v>0.76932541345959582</v>
      </c>
    </row>
    <row r="298" spans="1:12" x14ac:dyDescent="0.3">
      <c r="A298" s="3">
        <v>297</v>
      </c>
      <c r="B298" s="4">
        <v>45173</v>
      </c>
      <c r="C298" s="9" t="str">
        <f t="shared" si="8"/>
        <v>September</v>
      </c>
      <c r="D298" s="3" t="s">
        <v>310</v>
      </c>
      <c r="E298" s="3" t="s">
        <v>13</v>
      </c>
      <c r="F298" s="3">
        <v>40</v>
      </c>
      <c r="G298" s="8" t="str" cm="1">
        <f t="array" ref="G298">_xlfn.IFS(
    F298 &lt; 25, "Young",
    F298 &lt;= 40, "Mid-Age",
    F298 &gt; 40, "Old-Age"
)</f>
        <v>Mid-Age</v>
      </c>
      <c r="H298" s="3" t="s">
        <v>16</v>
      </c>
      <c r="I298" s="3">
        <v>2</v>
      </c>
      <c r="J298" s="3">
        <v>500</v>
      </c>
      <c r="K298" s="3">
        <v>1000</v>
      </c>
      <c r="L298" s="3">
        <f t="shared" si="9"/>
        <v>0.7719124194430117</v>
      </c>
    </row>
    <row r="299" spans="1:12" x14ac:dyDescent="0.3">
      <c r="A299" s="3">
        <v>298</v>
      </c>
      <c r="B299" s="4">
        <v>45036</v>
      </c>
      <c r="C299" s="9" t="str">
        <f t="shared" si="8"/>
        <v>April</v>
      </c>
      <c r="D299" s="3" t="s">
        <v>311</v>
      </c>
      <c r="E299" s="3" t="s">
        <v>10</v>
      </c>
      <c r="F299" s="3">
        <v>27</v>
      </c>
      <c r="G299" s="8" t="str" cm="1">
        <f t="array" ref="G299">_xlfn.IFS(
    F299 &lt; 25, "Young",
    F299 &lt;= 40, "Mid-Age",
    F299 &gt; 40, "Old-Age"
)</f>
        <v>Mid-Age</v>
      </c>
      <c r="H299" s="3" t="s">
        <v>11</v>
      </c>
      <c r="I299" s="3">
        <v>4</v>
      </c>
      <c r="J299" s="3">
        <v>300</v>
      </c>
      <c r="K299" s="3">
        <v>1200</v>
      </c>
      <c r="L299" s="3">
        <f t="shared" si="9"/>
        <v>0.77631821926097799</v>
      </c>
    </row>
    <row r="300" spans="1:12" x14ac:dyDescent="0.3">
      <c r="A300" s="3">
        <v>299</v>
      </c>
      <c r="B300" s="4">
        <v>45132</v>
      </c>
      <c r="C300" s="9" t="str">
        <f t="shared" si="8"/>
        <v>July</v>
      </c>
      <c r="D300" s="3" t="s">
        <v>312</v>
      </c>
      <c r="E300" s="3" t="s">
        <v>10</v>
      </c>
      <c r="F300" s="3">
        <v>61</v>
      </c>
      <c r="G300" s="8" t="str" cm="1">
        <f t="array" ref="G300">_xlfn.IFS(
    F300 &lt; 25, "Young",
    F300 &lt;= 40, "Mid-Age",
    F300 &gt; 40, "Old-Age"
)</f>
        <v>Old-Age</v>
      </c>
      <c r="H300" s="3" t="s">
        <v>16</v>
      </c>
      <c r="I300" s="3">
        <v>2</v>
      </c>
      <c r="J300" s="3">
        <v>500</v>
      </c>
      <c r="K300" s="3">
        <v>1000</v>
      </c>
      <c r="L300" s="3">
        <f t="shared" si="9"/>
        <v>0.77893298025838309</v>
      </c>
    </row>
    <row r="301" spans="1:12" x14ac:dyDescent="0.3">
      <c r="A301" s="3">
        <v>300</v>
      </c>
      <c r="B301" s="4">
        <v>44957</v>
      </c>
      <c r="C301" s="9" t="str">
        <f t="shared" si="8"/>
        <v>January</v>
      </c>
      <c r="D301" s="3" t="s">
        <v>313</v>
      </c>
      <c r="E301" s="3" t="s">
        <v>13</v>
      </c>
      <c r="F301" s="3">
        <v>19</v>
      </c>
      <c r="G301" s="8" t="str" cm="1">
        <f t="array" ref="G301">_xlfn.IFS(
    F301 &lt; 25, "Young",
    F301 &lt;= 40, "Mid-Age",
    F301 &gt; 40, "Old-Age"
)</f>
        <v>Young</v>
      </c>
      <c r="H301" s="3" t="s">
        <v>16</v>
      </c>
      <c r="I301" s="3">
        <v>4</v>
      </c>
      <c r="J301" s="3">
        <v>50</v>
      </c>
      <c r="K301" s="3">
        <v>200</v>
      </c>
      <c r="L301" s="3">
        <f t="shared" si="9"/>
        <v>0.7833768574936476</v>
      </c>
    </row>
    <row r="302" spans="1:12" x14ac:dyDescent="0.3">
      <c r="A302" s="3">
        <v>301</v>
      </c>
      <c r="B302" s="4">
        <v>45011</v>
      </c>
      <c r="C302" s="9" t="str">
        <f t="shared" si="8"/>
        <v>March</v>
      </c>
      <c r="D302" s="3" t="s">
        <v>314</v>
      </c>
      <c r="E302" s="3" t="s">
        <v>10</v>
      </c>
      <c r="F302" s="3">
        <v>30</v>
      </c>
      <c r="G302" s="8" t="str" cm="1">
        <f t="array" ref="G302">_xlfn.IFS(
    F302 &lt; 25, "Young",
    F302 &lt;= 40, "Mid-Age",
    F302 &gt; 40, "Old-Age"
)</f>
        <v>Mid-Age</v>
      </c>
      <c r="H302" s="3" t="s">
        <v>14</v>
      </c>
      <c r="I302" s="3">
        <v>4</v>
      </c>
      <c r="J302" s="3">
        <v>30</v>
      </c>
      <c r="K302" s="3">
        <v>120</v>
      </c>
      <c r="L302" s="3">
        <f t="shared" si="9"/>
        <v>0.78112799290449597</v>
      </c>
    </row>
    <row r="303" spans="1:12" x14ac:dyDescent="0.3">
      <c r="A303" s="3">
        <v>302</v>
      </c>
      <c r="B303" s="4">
        <v>45121</v>
      </c>
      <c r="C303" s="9" t="str">
        <f t="shared" si="8"/>
        <v>July</v>
      </c>
      <c r="D303" s="3" t="s">
        <v>315</v>
      </c>
      <c r="E303" s="3" t="s">
        <v>10</v>
      </c>
      <c r="F303" s="3">
        <v>57</v>
      </c>
      <c r="G303" s="8" t="str" cm="1">
        <f t="array" ref="G303">_xlfn.IFS(
    F303 &lt; 25, "Young",
    F303 &lt;= 40, "Mid-Age",
    F303 &gt; 40, "Old-Age"
)</f>
        <v>Old-Age</v>
      </c>
      <c r="H303" s="3" t="s">
        <v>11</v>
      </c>
      <c r="I303" s="3">
        <v>2</v>
      </c>
      <c r="J303" s="3">
        <v>300</v>
      </c>
      <c r="K303" s="3">
        <v>600</v>
      </c>
      <c r="L303" s="3">
        <f t="shared" si="9"/>
        <v>0.77891302212727642</v>
      </c>
    </row>
    <row r="304" spans="1:12" x14ac:dyDescent="0.3">
      <c r="A304" s="3">
        <v>303</v>
      </c>
      <c r="B304" s="4">
        <v>44928</v>
      </c>
      <c r="C304" s="9" t="str">
        <f t="shared" si="8"/>
        <v>January</v>
      </c>
      <c r="D304" s="3" t="s">
        <v>316</v>
      </c>
      <c r="E304" s="3" t="s">
        <v>10</v>
      </c>
      <c r="F304" s="3">
        <v>19</v>
      </c>
      <c r="G304" s="8" t="str" cm="1">
        <f t="array" ref="G304">_xlfn.IFS(
    F304 &lt; 25, "Young",
    F304 &lt;= 40, "Mid-Age",
    F304 &gt; 40, "Old-Age"
)</f>
        <v>Young</v>
      </c>
      <c r="H304" s="3" t="s">
        <v>16</v>
      </c>
      <c r="I304" s="3">
        <v>3</v>
      </c>
      <c r="J304" s="3">
        <v>30</v>
      </c>
      <c r="K304" s="3">
        <v>90</v>
      </c>
      <c r="L304" s="3">
        <f t="shared" si="9"/>
        <v>0.78155086105179861</v>
      </c>
    </row>
    <row r="305" spans="1:12" x14ac:dyDescent="0.3">
      <c r="A305" s="3">
        <v>304</v>
      </c>
      <c r="B305" s="4">
        <v>45126</v>
      </c>
      <c r="C305" s="9" t="str">
        <f t="shared" si="8"/>
        <v>July</v>
      </c>
      <c r="D305" s="3" t="s">
        <v>317</v>
      </c>
      <c r="E305" s="3" t="s">
        <v>13</v>
      </c>
      <c r="F305" s="3">
        <v>37</v>
      </c>
      <c r="G305" s="8" t="str" cm="1">
        <f t="array" ref="G305">_xlfn.IFS(
    F305 &lt; 25, "Young",
    F305 &lt;= 40, "Mid-Age",
    F305 &gt; 40, "Old-Age"
)</f>
        <v>Mid-Age</v>
      </c>
      <c r="H305" s="3" t="s">
        <v>16</v>
      </c>
      <c r="I305" s="3">
        <v>2</v>
      </c>
      <c r="J305" s="3">
        <v>30</v>
      </c>
      <c r="K305" s="3">
        <v>60</v>
      </c>
      <c r="L305" s="3">
        <f t="shared" si="9"/>
        <v>0.77932944258386572</v>
      </c>
    </row>
    <row r="306" spans="1:12" x14ac:dyDescent="0.3">
      <c r="A306" s="3">
        <v>305</v>
      </c>
      <c r="B306" s="4">
        <v>45062</v>
      </c>
      <c r="C306" s="9" t="str">
        <f t="shared" si="8"/>
        <v>May</v>
      </c>
      <c r="D306" s="3" t="s">
        <v>318</v>
      </c>
      <c r="E306" s="3" t="s">
        <v>13</v>
      </c>
      <c r="F306" s="3">
        <v>18</v>
      </c>
      <c r="G306" s="8" t="str" cm="1">
        <f t="array" ref="G306">_xlfn.IFS(
    F306 &lt; 25, "Young",
    F306 &lt;= 40, "Mid-Age",
    F306 &gt; 40, "Old-Age"
)</f>
        <v>Young</v>
      </c>
      <c r="H306" s="3" t="s">
        <v>11</v>
      </c>
      <c r="I306" s="3">
        <v>1</v>
      </c>
      <c r="J306" s="3">
        <v>30</v>
      </c>
      <c r="K306" s="3">
        <v>30</v>
      </c>
      <c r="L306" s="3">
        <f t="shared" si="9"/>
        <v>0.77710432287004505</v>
      </c>
    </row>
    <row r="307" spans="1:12" x14ac:dyDescent="0.3">
      <c r="A307" s="3">
        <v>306</v>
      </c>
      <c r="B307" s="4">
        <v>45159</v>
      </c>
      <c r="C307" s="9" t="str">
        <f t="shared" si="8"/>
        <v>August</v>
      </c>
      <c r="D307" s="3" t="s">
        <v>319</v>
      </c>
      <c r="E307" s="3" t="s">
        <v>10</v>
      </c>
      <c r="F307" s="3">
        <v>54</v>
      </c>
      <c r="G307" s="8" t="str" cm="1">
        <f t="array" ref="G307">_xlfn.IFS(
    F307 &lt; 25, "Young",
    F307 &lt;= 40, "Mid-Age",
    F307 &gt; 40, "Old-Age"
)</f>
        <v>Old-Age</v>
      </c>
      <c r="H307" s="3" t="s">
        <v>16</v>
      </c>
      <c r="I307" s="3">
        <v>1</v>
      </c>
      <c r="J307" s="3">
        <v>50</v>
      </c>
      <c r="K307" s="3">
        <v>50</v>
      </c>
      <c r="L307" s="3">
        <f t="shared" si="9"/>
        <v>0.77487548648913018</v>
      </c>
    </row>
    <row r="308" spans="1:12" x14ac:dyDescent="0.3">
      <c r="A308" s="3">
        <v>307</v>
      </c>
      <c r="B308" s="4">
        <v>45073</v>
      </c>
      <c r="C308" s="9" t="str">
        <f t="shared" si="8"/>
        <v>May</v>
      </c>
      <c r="D308" s="3" t="s">
        <v>320</v>
      </c>
      <c r="E308" s="3" t="s">
        <v>13</v>
      </c>
      <c r="F308" s="3">
        <v>26</v>
      </c>
      <c r="G308" s="8" t="str" cm="1">
        <f t="array" ref="G308">_xlfn.IFS(
    F308 &lt; 25, "Young",
    F308 &lt;= 40, "Mid-Age",
    F308 &gt; 40, "Old-Age"
)</f>
        <v>Mid-Age</v>
      </c>
      <c r="H308" s="3" t="s">
        <v>16</v>
      </c>
      <c r="I308" s="3">
        <v>2</v>
      </c>
      <c r="J308" s="3">
        <v>25</v>
      </c>
      <c r="K308" s="3">
        <v>50</v>
      </c>
      <c r="L308" s="3">
        <f t="shared" si="9"/>
        <v>0.77260458807305121</v>
      </c>
    </row>
    <row r="309" spans="1:12" x14ac:dyDescent="0.3">
      <c r="A309" s="3">
        <v>308</v>
      </c>
      <c r="B309" s="4">
        <v>45143</v>
      </c>
      <c r="C309" s="9" t="str">
        <f t="shared" si="8"/>
        <v>August</v>
      </c>
      <c r="D309" s="3" t="s">
        <v>321</v>
      </c>
      <c r="E309" s="3" t="s">
        <v>13</v>
      </c>
      <c r="F309" s="3">
        <v>34</v>
      </c>
      <c r="G309" s="8" t="str" cm="1">
        <f t="array" ref="G309">_xlfn.IFS(
    F309 &lt; 25, "Young",
    F309 &lt;= 40, "Mid-Age",
    F309 &gt; 40, "Old-Age"
)</f>
        <v>Mid-Age</v>
      </c>
      <c r="H309" s="3" t="s">
        <v>11</v>
      </c>
      <c r="I309" s="3">
        <v>4</v>
      </c>
      <c r="J309" s="3">
        <v>300</v>
      </c>
      <c r="K309" s="3">
        <v>1200</v>
      </c>
      <c r="L309" s="3">
        <f t="shared" si="9"/>
        <v>0.77039516384877049</v>
      </c>
    </row>
    <row r="310" spans="1:12" x14ac:dyDescent="0.3">
      <c r="A310" s="3">
        <v>309</v>
      </c>
      <c r="B310" s="4">
        <v>45283</v>
      </c>
      <c r="C310" s="9" t="str">
        <f t="shared" si="8"/>
        <v>December</v>
      </c>
      <c r="D310" s="3" t="s">
        <v>322</v>
      </c>
      <c r="E310" s="3" t="s">
        <v>13</v>
      </c>
      <c r="F310" s="3">
        <v>26</v>
      </c>
      <c r="G310" s="8" t="str" cm="1">
        <f t="array" ref="G310">_xlfn.IFS(
    F310 &lt; 25, "Young",
    F310 &lt;= 40, "Mid-Age",
    F310 &gt; 40, "Old-Age"
)</f>
        <v>Mid-Age</v>
      </c>
      <c r="H310" s="3" t="s">
        <v>11</v>
      </c>
      <c r="I310" s="3">
        <v>1</v>
      </c>
      <c r="J310" s="3">
        <v>25</v>
      </c>
      <c r="K310" s="3">
        <v>25</v>
      </c>
      <c r="L310" s="3">
        <f t="shared" si="9"/>
        <v>0.77302697999237102</v>
      </c>
    </row>
    <row r="311" spans="1:12" x14ac:dyDescent="0.3">
      <c r="A311" s="3">
        <v>310</v>
      </c>
      <c r="B311" s="4">
        <v>45211</v>
      </c>
      <c r="C311" s="9" t="str">
        <f t="shared" si="8"/>
        <v>October</v>
      </c>
      <c r="D311" s="3" t="s">
        <v>323</v>
      </c>
      <c r="E311" s="3" t="s">
        <v>13</v>
      </c>
      <c r="F311" s="3">
        <v>28</v>
      </c>
      <c r="G311" s="8" t="str" cm="1">
        <f t="array" ref="G311">_xlfn.IFS(
    F311 &lt; 25, "Young",
    F311 &lt;= 40, "Mid-Age",
    F311 &gt; 40, "Old-Age"
)</f>
        <v>Mid-Age</v>
      </c>
      <c r="H311" s="3" t="s">
        <v>11</v>
      </c>
      <c r="I311" s="3">
        <v>1</v>
      </c>
      <c r="J311" s="3">
        <v>25</v>
      </c>
      <c r="K311" s="3">
        <v>25</v>
      </c>
      <c r="L311" s="3">
        <f t="shared" si="9"/>
        <v>0.77081106465300864</v>
      </c>
    </row>
    <row r="312" spans="1:12" x14ac:dyDescent="0.3">
      <c r="A312" s="3">
        <v>311</v>
      </c>
      <c r="B312" s="4">
        <v>45265</v>
      </c>
      <c r="C312" s="9" t="str">
        <f t="shared" si="8"/>
        <v>December</v>
      </c>
      <c r="D312" s="3" t="s">
        <v>324</v>
      </c>
      <c r="E312" s="3" t="s">
        <v>13</v>
      </c>
      <c r="F312" s="3">
        <v>32</v>
      </c>
      <c r="G312" s="8" t="str" cm="1">
        <f t="array" ref="G312">_xlfn.IFS(
    F312 &lt; 25, "Young",
    F312 &lt;= 40, "Mid-Age",
    F312 &gt; 40, "Old-Age"
)</f>
        <v>Mid-Age</v>
      </c>
      <c r="H312" s="3" t="s">
        <v>11</v>
      </c>
      <c r="I312" s="3">
        <v>4</v>
      </c>
      <c r="J312" s="3">
        <v>25</v>
      </c>
      <c r="K312" s="3">
        <v>100</v>
      </c>
      <c r="L312" s="3">
        <f t="shared" si="9"/>
        <v>0.76859152571798117</v>
      </c>
    </row>
    <row r="313" spans="1:12" x14ac:dyDescent="0.3">
      <c r="A313" s="3">
        <v>312</v>
      </c>
      <c r="B313" s="4">
        <v>45176</v>
      </c>
      <c r="C313" s="9" t="str">
        <f t="shared" si="8"/>
        <v>September</v>
      </c>
      <c r="D313" s="3" t="s">
        <v>325</v>
      </c>
      <c r="E313" s="3" t="s">
        <v>10</v>
      </c>
      <c r="F313" s="3">
        <v>41</v>
      </c>
      <c r="G313" s="8" t="str" cm="1">
        <f t="array" ref="G313">_xlfn.IFS(
    F313 &lt; 25, "Young",
    F313 &lt;= 40, "Mid-Age",
    F313 &gt; 40, "Old-Age"
)</f>
        <v>Old-Age</v>
      </c>
      <c r="H313" s="3" t="s">
        <v>14</v>
      </c>
      <c r="I313" s="3">
        <v>4</v>
      </c>
      <c r="J313" s="3">
        <v>30</v>
      </c>
      <c r="K313" s="3">
        <v>120</v>
      </c>
      <c r="L313" s="3">
        <f t="shared" si="9"/>
        <v>0.76636834875541193</v>
      </c>
    </row>
    <row r="314" spans="1:12" x14ac:dyDescent="0.3">
      <c r="A314" s="3">
        <v>313</v>
      </c>
      <c r="B314" s="4">
        <v>45006</v>
      </c>
      <c r="C314" s="9" t="str">
        <f t="shared" si="8"/>
        <v>March</v>
      </c>
      <c r="D314" s="3" t="s">
        <v>326</v>
      </c>
      <c r="E314" s="3" t="s">
        <v>13</v>
      </c>
      <c r="F314" s="3">
        <v>55</v>
      </c>
      <c r="G314" s="8" t="str" cm="1">
        <f t="array" ref="G314">_xlfn.IFS(
    F314 &lt; 25, "Young",
    F314 &lt;= 40, "Mid-Age",
    F314 &gt; 40, "Old-Age"
)</f>
        <v>Old-Age</v>
      </c>
      <c r="H314" s="3" t="s">
        <v>11</v>
      </c>
      <c r="I314" s="3">
        <v>3</v>
      </c>
      <c r="J314" s="3">
        <v>500</v>
      </c>
      <c r="K314" s="3">
        <v>1500</v>
      </c>
      <c r="L314" s="3">
        <f t="shared" si="9"/>
        <v>0.76411410343390629</v>
      </c>
    </row>
    <row r="315" spans="1:12" x14ac:dyDescent="0.3">
      <c r="A315" s="3">
        <v>314</v>
      </c>
      <c r="B315" s="4">
        <v>45024</v>
      </c>
      <c r="C315" s="9" t="str">
        <f t="shared" si="8"/>
        <v>April</v>
      </c>
      <c r="D315" s="3" t="s">
        <v>327</v>
      </c>
      <c r="E315" s="3" t="s">
        <v>10</v>
      </c>
      <c r="F315" s="3">
        <v>52</v>
      </c>
      <c r="G315" s="8" t="str" cm="1">
        <f t="array" ref="G315">_xlfn.IFS(
    F315 &lt; 25, "Young",
    F315 &lt;= 40, "Mid-Age",
    F315 &gt; 40, "Old-Age"
)</f>
        <v>Old-Age</v>
      </c>
      <c r="H315" s="3" t="s">
        <v>14</v>
      </c>
      <c r="I315" s="3">
        <v>4</v>
      </c>
      <c r="J315" s="3">
        <v>30</v>
      </c>
      <c r="K315" s="3">
        <v>120</v>
      </c>
      <c r="L315" s="3">
        <f t="shared" si="9"/>
        <v>0.76859787145517278</v>
      </c>
    </row>
    <row r="316" spans="1:12" x14ac:dyDescent="0.3">
      <c r="A316" s="3">
        <v>315</v>
      </c>
      <c r="B316" s="4">
        <v>45078</v>
      </c>
      <c r="C316" s="9" t="str">
        <f t="shared" si="8"/>
        <v>June</v>
      </c>
      <c r="D316" s="3" t="s">
        <v>328</v>
      </c>
      <c r="E316" s="3" t="s">
        <v>10</v>
      </c>
      <c r="F316" s="3">
        <v>47</v>
      </c>
      <c r="G316" s="8" t="str" cm="1">
        <f t="array" ref="G316">_xlfn.IFS(
    F316 &lt; 25, "Young",
    F316 &lt;= 40, "Mid-Age",
    F316 &gt; 40, "Old-Age"
)</f>
        <v>Old-Age</v>
      </c>
      <c r="H316" s="3" t="s">
        <v>14</v>
      </c>
      <c r="I316" s="3">
        <v>2</v>
      </c>
      <c r="J316" s="3">
        <v>30</v>
      </c>
      <c r="K316" s="3">
        <v>60</v>
      </c>
      <c r="L316" s="3">
        <f t="shared" si="9"/>
        <v>0.76633796583616831</v>
      </c>
    </row>
    <row r="317" spans="1:12" x14ac:dyDescent="0.3">
      <c r="A317" s="3">
        <v>316</v>
      </c>
      <c r="B317" s="4">
        <v>45038</v>
      </c>
      <c r="C317" s="9" t="str">
        <f t="shared" si="8"/>
        <v>April</v>
      </c>
      <c r="D317" s="3" t="s">
        <v>329</v>
      </c>
      <c r="E317" s="3" t="s">
        <v>13</v>
      </c>
      <c r="F317" s="3">
        <v>48</v>
      </c>
      <c r="G317" s="8" t="str" cm="1">
        <f t="array" ref="G317">_xlfn.IFS(
    F317 &lt; 25, "Young",
    F317 &lt;= 40, "Mid-Age",
    F317 &gt; 40, "Old-Age"
)</f>
        <v>Old-Age</v>
      </c>
      <c r="H317" s="3" t="s">
        <v>14</v>
      </c>
      <c r="I317" s="3">
        <v>2</v>
      </c>
      <c r="J317" s="3">
        <v>25</v>
      </c>
      <c r="K317" s="3">
        <v>50</v>
      </c>
      <c r="L317" s="3">
        <f t="shared" si="9"/>
        <v>0.76407421151622235</v>
      </c>
    </row>
    <row r="318" spans="1:12" x14ac:dyDescent="0.3">
      <c r="A318" s="3">
        <v>317</v>
      </c>
      <c r="B318" s="4">
        <v>44956</v>
      </c>
      <c r="C318" s="9" t="str">
        <f t="shared" si="8"/>
        <v>January</v>
      </c>
      <c r="D318" s="3" t="s">
        <v>330</v>
      </c>
      <c r="E318" s="3" t="s">
        <v>10</v>
      </c>
      <c r="F318" s="3">
        <v>22</v>
      </c>
      <c r="G318" s="8" t="str" cm="1">
        <f t="array" ref="G318">_xlfn.IFS(
    F318 &lt; 25, "Young",
    F318 &lt;= 40, "Mid-Age",
    F318 &gt; 40, "Old-Age"
)</f>
        <v>Young</v>
      </c>
      <c r="H318" s="3" t="s">
        <v>16</v>
      </c>
      <c r="I318" s="3">
        <v>3</v>
      </c>
      <c r="J318" s="3">
        <v>30</v>
      </c>
      <c r="K318" s="3">
        <v>90</v>
      </c>
      <c r="L318" s="3">
        <f t="shared" si="9"/>
        <v>0.76183434593596777</v>
      </c>
    </row>
    <row r="319" spans="1:12" x14ac:dyDescent="0.3">
      <c r="A319" s="3">
        <v>318</v>
      </c>
      <c r="B319" s="4">
        <v>45223</v>
      </c>
      <c r="C319" s="9" t="str">
        <f t="shared" si="8"/>
        <v>October</v>
      </c>
      <c r="D319" s="3" t="s">
        <v>331</v>
      </c>
      <c r="E319" s="3" t="s">
        <v>10</v>
      </c>
      <c r="F319" s="3">
        <v>61</v>
      </c>
      <c r="G319" s="8" t="str" cm="1">
        <f t="array" ref="G319">_xlfn.IFS(
    F319 &lt; 25, "Young",
    F319 &lt;= 40, "Mid-Age",
    F319 &gt; 40, "Old-Age"
)</f>
        <v>Old-Age</v>
      </c>
      <c r="H319" s="3" t="s">
        <v>14</v>
      </c>
      <c r="I319" s="3">
        <v>1</v>
      </c>
      <c r="J319" s="3">
        <v>25</v>
      </c>
      <c r="K319" s="3">
        <v>25</v>
      </c>
      <c r="L319" s="3">
        <f t="shared" si="9"/>
        <v>0.75956291946539989</v>
      </c>
    </row>
    <row r="320" spans="1:12" x14ac:dyDescent="0.3">
      <c r="A320" s="3">
        <v>319</v>
      </c>
      <c r="B320" s="4">
        <v>45204</v>
      </c>
      <c r="C320" s="9" t="str">
        <f t="shared" si="8"/>
        <v>October</v>
      </c>
      <c r="D320" s="3" t="s">
        <v>332</v>
      </c>
      <c r="E320" s="3" t="s">
        <v>10</v>
      </c>
      <c r="F320" s="3">
        <v>31</v>
      </c>
      <c r="G320" s="8" t="str" cm="1">
        <f t="array" ref="G320">_xlfn.IFS(
    F320 &lt; 25, "Young",
    F320 &lt;= 40, "Mid-Age",
    F320 &gt; 40, "Old-Age"
)</f>
        <v>Mid-Age</v>
      </c>
      <c r="H320" s="3" t="s">
        <v>14</v>
      </c>
      <c r="I320" s="3">
        <v>1</v>
      </c>
      <c r="J320" s="3">
        <v>500</v>
      </c>
      <c r="K320" s="3">
        <v>500</v>
      </c>
      <c r="L320" s="3">
        <f t="shared" si="9"/>
        <v>0.75731551953704679</v>
      </c>
    </row>
    <row r="321" spans="1:12" x14ac:dyDescent="0.3">
      <c r="A321" s="3">
        <v>320</v>
      </c>
      <c r="B321" s="4">
        <v>44958</v>
      </c>
      <c r="C321" s="9" t="str">
        <f t="shared" si="8"/>
        <v>February</v>
      </c>
      <c r="D321" s="3" t="s">
        <v>333</v>
      </c>
      <c r="E321" s="3" t="s">
        <v>13</v>
      </c>
      <c r="F321" s="3">
        <v>28</v>
      </c>
      <c r="G321" s="8" t="str" cm="1">
        <f t="array" ref="G321">_xlfn.IFS(
    F321 &lt; 25, "Young",
    F321 &lt;= 40, "Mid-Age",
    F321 &gt; 40, "Old-Age"
)</f>
        <v>Mid-Age</v>
      </c>
      <c r="H321" s="3" t="s">
        <v>16</v>
      </c>
      <c r="I321" s="3">
        <v>4</v>
      </c>
      <c r="J321" s="3">
        <v>300</v>
      </c>
      <c r="K321" s="3">
        <v>1200</v>
      </c>
      <c r="L321" s="3">
        <f t="shared" si="9"/>
        <v>0.76180844883653354</v>
      </c>
    </row>
    <row r="322" spans="1:12" x14ac:dyDescent="0.3">
      <c r="A322" s="3">
        <v>321</v>
      </c>
      <c r="B322" s="4">
        <v>45087</v>
      </c>
      <c r="C322" s="9" t="str">
        <f t="shared" ref="C322:C385" si="10">TEXT(B322,"mmmm")</f>
        <v>June</v>
      </c>
      <c r="D322" s="3" t="s">
        <v>334</v>
      </c>
      <c r="E322" s="3" t="s">
        <v>13</v>
      </c>
      <c r="F322" s="3">
        <v>26</v>
      </c>
      <c r="G322" s="8" t="str" cm="1">
        <f t="array" ref="G322">_xlfn.IFS(
    F322 &lt; 25, "Young",
    F322 &lt;= 40, "Mid-Age",
    F322 &gt; 40, "Old-Age"
)</f>
        <v>Mid-Age</v>
      </c>
      <c r="H322" s="3" t="s">
        <v>16</v>
      </c>
      <c r="I322" s="3">
        <v>2</v>
      </c>
      <c r="J322" s="3">
        <v>25</v>
      </c>
      <c r="K322" s="3">
        <v>50</v>
      </c>
      <c r="L322" s="3">
        <f t="shared" ref="L322:L385" si="11">SKEW(J322:J1321)</f>
        <v>0.76446410842817647</v>
      </c>
    </row>
    <row r="323" spans="1:12" x14ac:dyDescent="0.3">
      <c r="A323" s="3">
        <v>322</v>
      </c>
      <c r="B323" s="4">
        <v>44956</v>
      </c>
      <c r="C323" s="9" t="str">
        <f t="shared" si="10"/>
        <v>January</v>
      </c>
      <c r="D323" s="3" t="s">
        <v>335</v>
      </c>
      <c r="E323" s="3" t="s">
        <v>10</v>
      </c>
      <c r="F323" s="3">
        <v>51</v>
      </c>
      <c r="G323" s="8" t="str" cm="1">
        <f t="array" ref="G323">_xlfn.IFS(
    F323 &lt; 25, "Young",
    F323 &lt;= 40, "Mid-Age",
    F323 &gt; 40, "Old-Age"
)</f>
        <v>Old-Age</v>
      </c>
      <c r="H323" s="3" t="s">
        <v>16</v>
      </c>
      <c r="I323" s="3">
        <v>1</v>
      </c>
      <c r="J323" s="3">
        <v>500</v>
      </c>
      <c r="K323" s="3">
        <v>500</v>
      </c>
      <c r="L323" s="3">
        <f t="shared" si="11"/>
        <v>0.76220826023987132</v>
      </c>
    </row>
    <row r="324" spans="1:12" x14ac:dyDescent="0.3">
      <c r="A324" s="3">
        <v>323</v>
      </c>
      <c r="B324" s="4">
        <v>44952</v>
      </c>
      <c r="C324" s="9" t="str">
        <f t="shared" si="10"/>
        <v>January</v>
      </c>
      <c r="D324" s="3" t="s">
        <v>336</v>
      </c>
      <c r="E324" s="3" t="s">
        <v>13</v>
      </c>
      <c r="F324" s="3">
        <v>29</v>
      </c>
      <c r="G324" s="8" t="str" cm="1">
        <f t="array" ref="G324">_xlfn.IFS(
    F324 &lt; 25, "Young",
    F324 &lt;= 40, "Mid-Age",
    F324 &gt; 40, "Old-Age"
)</f>
        <v>Mid-Age</v>
      </c>
      <c r="H324" s="3" t="s">
        <v>11</v>
      </c>
      <c r="I324" s="3">
        <v>3</v>
      </c>
      <c r="J324" s="3">
        <v>300</v>
      </c>
      <c r="K324" s="3">
        <v>900</v>
      </c>
      <c r="L324" s="3">
        <f t="shared" si="11"/>
        <v>0.76673905667835107</v>
      </c>
    </row>
    <row r="325" spans="1:12" x14ac:dyDescent="0.3">
      <c r="A325" s="3">
        <v>324</v>
      </c>
      <c r="B325" s="4">
        <v>45226</v>
      </c>
      <c r="C325" s="9" t="str">
        <f t="shared" si="10"/>
        <v>October</v>
      </c>
      <c r="D325" s="3" t="s">
        <v>337</v>
      </c>
      <c r="E325" s="3" t="s">
        <v>13</v>
      </c>
      <c r="F325" s="3">
        <v>52</v>
      </c>
      <c r="G325" s="8" t="str" cm="1">
        <f t="array" ref="G325">_xlfn.IFS(
    F325 &lt; 25, "Young",
    F325 &lt;= 40, "Mid-Age",
    F325 &gt; 40, "Old-Age"
)</f>
        <v>Old-Age</v>
      </c>
      <c r="H325" s="3" t="s">
        <v>16</v>
      </c>
      <c r="I325" s="3">
        <v>3</v>
      </c>
      <c r="J325" s="3">
        <v>50</v>
      </c>
      <c r="K325" s="3">
        <v>150</v>
      </c>
      <c r="L325" s="3">
        <f t="shared" si="11"/>
        <v>0.76942110226718263</v>
      </c>
    </row>
    <row r="326" spans="1:12" x14ac:dyDescent="0.3">
      <c r="A326" s="3">
        <v>325</v>
      </c>
      <c r="B326" s="4">
        <v>45171</v>
      </c>
      <c r="C326" s="9" t="str">
        <f t="shared" si="10"/>
        <v>September</v>
      </c>
      <c r="D326" s="3" t="s">
        <v>338</v>
      </c>
      <c r="E326" s="3" t="s">
        <v>13</v>
      </c>
      <c r="F326" s="3">
        <v>52</v>
      </c>
      <c r="G326" s="8" t="str" cm="1">
        <f t="array" ref="G326">_xlfn.IFS(
    F326 &lt; 25, "Young",
    F326 &lt;= 40, "Mid-Age",
    F326 &gt; 40, "Old-Age"
)</f>
        <v>Old-Age</v>
      </c>
      <c r="H326" s="3" t="s">
        <v>16</v>
      </c>
      <c r="I326" s="3">
        <v>2</v>
      </c>
      <c r="J326" s="3">
        <v>25</v>
      </c>
      <c r="K326" s="3">
        <v>50</v>
      </c>
      <c r="L326" s="3">
        <f t="shared" si="11"/>
        <v>0.76708780237051466</v>
      </c>
    </row>
    <row r="327" spans="1:12" x14ac:dyDescent="0.3">
      <c r="A327" s="3">
        <v>326</v>
      </c>
      <c r="B327" s="4">
        <v>45184</v>
      </c>
      <c r="C327" s="9" t="str">
        <f t="shared" si="10"/>
        <v>September</v>
      </c>
      <c r="D327" s="3" t="s">
        <v>339</v>
      </c>
      <c r="E327" s="3" t="s">
        <v>13</v>
      </c>
      <c r="F327" s="3">
        <v>18</v>
      </c>
      <c r="G327" s="8" t="str" cm="1">
        <f t="array" ref="G327">_xlfn.IFS(
    F327 &lt; 25, "Young",
    F327 &lt;= 40, "Mid-Age",
    F327 &gt; 40, "Old-Age"
)</f>
        <v>Young</v>
      </c>
      <c r="H327" s="3" t="s">
        <v>14</v>
      </c>
      <c r="I327" s="3">
        <v>3</v>
      </c>
      <c r="J327" s="3">
        <v>25</v>
      </c>
      <c r="K327" s="3">
        <v>75</v>
      </c>
      <c r="L327" s="3">
        <f t="shared" si="11"/>
        <v>0.76481921481943682</v>
      </c>
    </row>
    <row r="328" spans="1:12" x14ac:dyDescent="0.3">
      <c r="A328" s="3">
        <v>327</v>
      </c>
      <c r="B328" s="4">
        <v>45198</v>
      </c>
      <c r="C328" s="9" t="str">
        <f t="shared" si="10"/>
        <v>September</v>
      </c>
      <c r="D328" s="3" t="s">
        <v>340</v>
      </c>
      <c r="E328" s="3" t="s">
        <v>10</v>
      </c>
      <c r="F328" s="3">
        <v>57</v>
      </c>
      <c r="G328" s="8" t="str" cm="1">
        <f t="array" ref="G328">_xlfn.IFS(
    F328 &lt; 25, "Young",
    F328 &lt;= 40, "Mid-Age",
    F328 &gt; 40, "Old-Age"
)</f>
        <v>Old-Age</v>
      </c>
      <c r="H328" s="3" t="s">
        <v>16</v>
      </c>
      <c r="I328" s="3">
        <v>3</v>
      </c>
      <c r="J328" s="3">
        <v>50</v>
      </c>
      <c r="K328" s="3">
        <v>150</v>
      </c>
      <c r="L328" s="3">
        <f t="shared" si="11"/>
        <v>0.7625468248432089</v>
      </c>
    </row>
    <row r="329" spans="1:12" x14ac:dyDescent="0.3">
      <c r="A329" s="3">
        <v>328</v>
      </c>
      <c r="B329" s="4">
        <v>45007</v>
      </c>
      <c r="C329" s="9" t="str">
        <f t="shared" si="10"/>
        <v>March</v>
      </c>
      <c r="D329" s="3" t="s">
        <v>341</v>
      </c>
      <c r="E329" s="3" t="s">
        <v>10</v>
      </c>
      <c r="F329" s="3">
        <v>39</v>
      </c>
      <c r="G329" s="8" t="str" cm="1">
        <f t="array" ref="G329">_xlfn.IFS(
    F329 &lt; 25, "Young",
    F329 &lt;= 40, "Mid-Age",
    F329 &gt; 40, "Old-Age"
)</f>
        <v>Mid-Age</v>
      </c>
      <c r="H329" s="3" t="s">
        <v>11</v>
      </c>
      <c r="I329" s="3">
        <v>2</v>
      </c>
      <c r="J329" s="3">
        <v>50</v>
      </c>
      <c r="K329" s="3">
        <v>100</v>
      </c>
      <c r="L329" s="3">
        <f t="shared" si="11"/>
        <v>0.76020085588492026</v>
      </c>
    </row>
    <row r="330" spans="1:12" x14ac:dyDescent="0.3">
      <c r="A330" s="3">
        <v>329</v>
      </c>
      <c r="B330" s="4">
        <v>44956</v>
      </c>
      <c r="C330" s="9" t="str">
        <f t="shared" si="10"/>
        <v>January</v>
      </c>
      <c r="D330" s="3" t="s">
        <v>342</v>
      </c>
      <c r="E330" s="3" t="s">
        <v>13</v>
      </c>
      <c r="F330" s="3">
        <v>46</v>
      </c>
      <c r="G330" s="8" t="str" cm="1">
        <f t="array" ref="G330">_xlfn.IFS(
    F330 &lt; 25, "Young",
    F330 &lt;= 40, "Mid-Age",
    F330 &gt; 40, "Old-Age"
)</f>
        <v>Old-Age</v>
      </c>
      <c r="H330" s="3" t="s">
        <v>16</v>
      </c>
      <c r="I330" s="3">
        <v>4</v>
      </c>
      <c r="J330" s="3">
        <v>25</v>
      </c>
      <c r="K330" s="3">
        <v>100</v>
      </c>
      <c r="L330" s="3">
        <f t="shared" si="11"/>
        <v>0.75785063920128559</v>
      </c>
    </row>
    <row r="331" spans="1:12" x14ac:dyDescent="0.3">
      <c r="A331" s="3">
        <v>330</v>
      </c>
      <c r="B331" s="4">
        <v>45187</v>
      </c>
      <c r="C331" s="9" t="str">
        <f t="shared" si="10"/>
        <v>September</v>
      </c>
      <c r="D331" s="3" t="s">
        <v>343</v>
      </c>
      <c r="E331" s="3" t="s">
        <v>13</v>
      </c>
      <c r="F331" s="3">
        <v>25</v>
      </c>
      <c r="G331" s="8" t="str" cm="1">
        <f t="array" ref="G331">_xlfn.IFS(
    F331 &lt; 25, "Young",
    F331 &lt;= 40, "Mid-Age",
    F331 &gt; 40, "Old-Age"
)</f>
        <v>Mid-Age</v>
      </c>
      <c r="H331" s="3" t="s">
        <v>11</v>
      </c>
      <c r="I331" s="3">
        <v>4</v>
      </c>
      <c r="J331" s="3">
        <v>50</v>
      </c>
      <c r="K331" s="3">
        <v>200</v>
      </c>
      <c r="L331" s="3">
        <f t="shared" si="11"/>
        <v>0.75556587759692806</v>
      </c>
    </row>
    <row r="332" spans="1:12" x14ac:dyDescent="0.3">
      <c r="A332" s="3">
        <v>331</v>
      </c>
      <c r="B332" s="4">
        <v>44968</v>
      </c>
      <c r="C332" s="9" t="str">
        <f t="shared" si="10"/>
        <v>February</v>
      </c>
      <c r="D332" s="3" t="s">
        <v>344</v>
      </c>
      <c r="E332" s="3" t="s">
        <v>10</v>
      </c>
      <c r="F332" s="3">
        <v>28</v>
      </c>
      <c r="G332" s="8" t="str" cm="1">
        <f t="array" ref="G332">_xlfn.IFS(
    F332 &lt; 25, "Young",
    F332 &lt;= 40, "Mid-Age",
    F332 &gt; 40, "Old-Age"
)</f>
        <v>Mid-Age</v>
      </c>
      <c r="H332" s="3" t="s">
        <v>16</v>
      </c>
      <c r="I332" s="3">
        <v>3</v>
      </c>
      <c r="J332" s="3">
        <v>30</v>
      </c>
      <c r="K332" s="3">
        <v>90</v>
      </c>
      <c r="L332" s="3">
        <f t="shared" si="11"/>
        <v>0.75320708729868868</v>
      </c>
    </row>
    <row r="333" spans="1:12" x14ac:dyDescent="0.3">
      <c r="A333" s="3">
        <v>332</v>
      </c>
      <c r="B333" s="4">
        <v>45022</v>
      </c>
      <c r="C333" s="9" t="str">
        <f t="shared" si="10"/>
        <v>April</v>
      </c>
      <c r="D333" s="3" t="s">
        <v>345</v>
      </c>
      <c r="E333" s="3" t="s">
        <v>10</v>
      </c>
      <c r="F333" s="3">
        <v>58</v>
      </c>
      <c r="G333" s="8" t="str" cm="1">
        <f t="array" ref="G333">_xlfn.IFS(
    F333 &lt; 25, "Young",
    F333 &lt;= 40, "Mid-Age",
    F333 &gt; 40, "Old-Age"
)</f>
        <v>Old-Age</v>
      </c>
      <c r="H333" s="3" t="s">
        <v>16</v>
      </c>
      <c r="I333" s="3">
        <v>4</v>
      </c>
      <c r="J333" s="3">
        <v>300</v>
      </c>
      <c r="K333" s="3">
        <v>1200</v>
      </c>
      <c r="L333" s="3">
        <f t="shared" si="11"/>
        <v>0.75088563816554765</v>
      </c>
    </row>
    <row r="334" spans="1:12" x14ac:dyDescent="0.3">
      <c r="A334" s="3">
        <v>333</v>
      </c>
      <c r="B334" s="4">
        <v>44962</v>
      </c>
      <c r="C334" s="9" t="str">
        <f t="shared" si="10"/>
        <v>February</v>
      </c>
      <c r="D334" s="3" t="s">
        <v>346</v>
      </c>
      <c r="E334" s="3" t="s">
        <v>13</v>
      </c>
      <c r="F334" s="3">
        <v>54</v>
      </c>
      <c r="G334" s="8" t="str" cm="1">
        <f t="array" ref="G334">_xlfn.IFS(
    F334 &lt; 25, "Young",
    F334 &lt;= 40, "Mid-Age",
    F334 &gt; 40, "Old-Age"
)</f>
        <v>Old-Age</v>
      </c>
      <c r="H334" s="3" t="s">
        <v>16</v>
      </c>
      <c r="I334" s="3">
        <v>4</v>
      </c>
      <c r="J334" s="3">
        <v>300</v>
      </c>
      <c r="K334" s="3">
        <v>1200</v>
      </c>
      <c r="L334" s="3">
        <f t="shared" si="11"/>
        <v>0.7535531552358008</v>
      </c>
    </row>
    <row r="335" spans="1:12" x14ac:dyDescent="0.3">
      <c r="A335" s="3">
        <v>334</v>
      </c>
      <c r="B335" s="4">
        <v>45231</v>
      </c>
      <c r="C335" s="9" t="str">
        <f t="shared" si="10"/>
        <v>November</v>
      </c>
      <c r="D335" s="3" t="s">
        <v>347</v>
      </c>
      <c r="E335" s="3" t="s">
        <v>10</v>
      </c>
      <c r="F335" s="3">
        <v>31</v>
      </c>
      <c r="G335" s="8" t="str" cm="1">
        <f t="array" ref="G335">_xlfn.IFS(
    F335 &lt; 25, "Young",
    F335 &lt;= 40, "Mid-Age",
    F335 &gt; 40, "Old-Age"
)</f>
        <v>Mid-Age</v>
      </c>
      <c r="H335" s="3" t="s">
        <v>16</v>
      </c>
      <c r="I335" s="3">
        <v>3</v>
      </c>
      <c r="J335" s="3">
        <v>300</v>
      </c>
      <c r="K335" s="3">
        <v>900</v>
      </c>
      <c r="L335" s="3">
        <f t="shared" si="11"/>
        <v>0.75622856202048716</v>
      </c>
    </row>
    <row r="336" spans="1:12" x14ac:dyDescent="0.3">
      <c r="A336" s="3">
        <v>335</v>
      </c>
      <c r="B336" s="4">
        <v>44961</v>
      </c>
      <c r="C336" s="9" t="str">
        <f t="shared" si="10"/>
        <v>February</v>
      </c>
      <c r="D336" s="3" t="s">
        <v>348</v>
      </c>
      <c r="E336" s="3" t="s">
        <v>13</v>
      </c>
      <c r="F336" s="3">
        <v>47</v>
      </c>
      <c r="G336" s="8" t="str" cm="1">
        <f t="array" ref="G336">_xlfn.IFS(
    F336 &lt; 25, "Young",
    F336 &lt;= 40, "Mid-Age",
    F336 &gt; 40, "Old-Age"
)</f>
        <v>Old-Age</v>
      </c>
      <c r="H336" s="3" t="s">
        <v>11</v>
      </c>
      <c r="I336" s="3">
        <v>4</v>
      </c>
      <c r="J336" s="3">
        <v>30</v>
      </c>
      <c r="K336" s="3">
        <v>120</v>
      </c>
      <c r="L336" s="3">
        <f t="shared" si="11"/>
        <v>0.75891190431201372</v>
      </c>
    </row>
    <row r="337" spans="1:12" x14ac:dyDescent="0.3">
      <c r="A337" s="3">
        <v>336</v>
      </c>
      <c r="B337" s="4">
        <v>45272</v>
      </c>
      <c r="C337" s="9" t="str">
        <f t="shared" si="10"/>
        <v>December</v>
      </c>
      <c r="D337" s="3" t="s">
        <v>349</v>
      </c>
      <c r="E337" s="3" t="s">
        <v>13</v>
      </c>
      <c r="F337" s="3">
        <v>52</v>
      </c>
      <c r="G337" s="8" t="str" cm="1">
        <f t="array" ref="G337">_xlfn.IFS(
    F337 &lt; 25, "Young",
    F337 &lt;= 40, "Mid-Age",
    F337 &gt; 40, "Old-Age"
)</f>
        <v>Old-Age</v>
      </c>
      <c r="H337" s="3" t="s">
        <v>11</v>
      </c>
      <c r="I337" s="3">
        <v>3</v>
      </c>
      <c r="J337" s="3">
        <v>50</v>
      </c>
      <c r="K337" s="3">
        <v>150</v>
      </c>
      <c r="L337" s="3">
        <f t="shared" si="11"/>
        <v>0.75657733493287127</v>
      </c>
    </row>
    <row r="338" spans="1:12" x14ac:dyDescent="0.3">
      <c r="A338" s="3">
        <v>337</v>
      </c>
      <c r="B338" s="4">
        <v>45047</v>
      </c>
      <c r="C338" s="9" t="str">
        <f t="shared" si="10"/>
        <v>May</v>
      </c>
      <c r="D338" s="3" t="s">
        <v>350</v>
      </c>
      <c r="E338" s="3" t="s">
        <v>10</v>
      </c>
      <c r="F338" s="3">
        <v>38</v>
      </c>
      <c r="G338" s="8" t="str" cm="1">
        <f t="array" ref="G338">_xlfn.IFS(
    F338 &lt; 25, "Young",
    F338 &lt;= 40, "Mid-Age",
    F338 &gt; 40, "Old-Age"
)</f>
        <v>Mid-Age</v>
      </c>
      <c r="H338" s="3" t="s">
        <v>14</v>
      </c>
      <c r="I338" s="3">
        <v>1</v>
      </c>
      <c r="J338" s="3">
        <v>500</v>
      </c>
      <c r="K338" s="3">
        <v>500</v>
      </c>
      <c r="L338" s="3">
        <f t="shared" si="11"/>
        <v>0.75419765462955279</v>
      </c>
    </row>
    <row r="339" spans="1:12" x14ac:dyDescent="0.3">
      <c r="A339" s="3">
        <v>338</v>
      </c>
      <c r="B339" s="4">
        <v>45133</v>
      </c>
      <c r="C339" s="9" t="str">
        <f t="shared" si="10"/>
        <v>July</v>
      </c>
      <c r="D339" s="3" t="s">
        <v>351</v>
      </c>
      <c r="E339" s="3" t="s">
        <v>10</v>
      </c>
      <c r="F339" s="3">
        <v>54</v>
      </c>
      <c r="G339" s="8" t="str" cm="1">
        <f t="array" ref="G339">_xlfn.IFS(
    F339 &lt; 25, "Young",
    F339 &lt;= 40, "Mid-Age",
    F339 &gt; 40, "Old-Age"
)</f>
        <v>Old-Age</v>
      </c>
      <c r="H339" s="3" t="s">
        <v>11</v>
      </c>
      <c r="I339" s="3">
        <v>2</v>
      </c>
      <c r="J339" s="3">
        <v>50</v>
      </c>
      <c r="K339" s="3">
        <v>100</v>
      </c>
      <c r="L339" s="3">
        <f t="shared" si="11"/>
        <v>0.7588153972923839</v>
      </c>
    </row>
    <row r="340" spans="1:12" x14ac:dyDescent="0.3">
      <c r="A340" s="3">
        <v>339</v>
      </c>
      <c r="B340" s="4">
        <v>44988</v>
      </c>
      <c r="C340" s="9" t="str">
        <f t="shared" si="10"/>
        <v>March</v>
      </c>
      <c r="D340" s="3" t="s">
        <v>352</v>
      </c>
      <c r="E340" s="3" t="s">
        <v>13</v>
      </c>
      <c r="F340" s="3">
        <v>22</v>
      </c>
      <c r="G340" s="8" t="str" cm="1">
        <f t="array" ref="G340">_xlfn.IFS(
    F340 &lt; 25, "Young",
    F340 &lt;= 40, "Mid-Age",
    F340 &gt; 40, "Old-Age"
)</f>
        <v>Young</v>
      </c>
      <c r="H340" s="3" t="s">
        <v>16</v>
      </c>
      <c r="I340" s="3">
        <v>2</v>
      </c>
      <c r="J340" s="3">
        <v>25</v>
      </c>
      <c r="K340" s="3">
        <v>50</v>
      </c>
      <c r="L340" s="3">
        <f t="shared" si="11"/>
        <v>0.75642928179391544</v>
      </c>
    </row>
    <row r="341" spans="1:12" x14ac:dyDescent="0.3">
      <c r="A341" s="3">
        <v>340</v>
      </c>
      <c r="B341" s="4">
        <v>45218</v>
      </c>
      <c r="C341" s="9" t="str">
        <f t="shared" si="10"/>
        <v>October</v>
      </c>
      <c r="D341" s="3" t="s">
        <v>353</v>
      </c>
      <c r="E341" s="3" t="s">
        <v>13</v>
      </c>
      <c r="F341" s="3">
        <v>36</v>
      </c>
      <c r="G341" s="8" t="str" cm="1">
        <f t="array" ref="G341">_xlfn.IFS(
    F341 &lt; 25, "Young",
    F341 &lt;= 40, "Mid-Age",
    F341 &gt; 40, "Old-Age"
)</f>
        <v>Mid-Age</v>
      </c>
      <c r="H341" s="3" t="s">
        <v>14</v>
      </c>
      <c r="I341" s="3">
        <v>4</v>
      </c>
      <c r="J341" s="3">
        <v>300</v>
      </c>
      <c r="K341" s="3">
        <v>1200</v>
      </c>
      <c r="L341" s="3">
        <f t="shared" si="11"/>
        <v>0.75410834593447584</v>
      </c>
    </row>
    <row r="342" spans="1:12" x14ac:dyDescent="0.3">
      <c r="A342" s="3">
        <v>341</v>
      </c>
      <c r="B342" s="4">
        <v>45053</v>
      </c>
      <c r="C342" s="9" t="str">
        <f t="shared" si="10"/>
        <v>May</v>
      </c>
      <c r="D342" s="3" t="s">
        <v>354</v>
      </c>
      <c r="E342" s="3" t="s">
        <v>10</v>
      </c>
      <c r="F342" s="3">
        <v>31</v>
      </c>
      <c r="G342" s="8" t="str" cm="1">
        <f t="array" ref="G342">_xlfn.IFS(
    F342 &lt; 25, "Young",
    F342 &lt;= 40, "Mid-Age",
    F342 &gt; 40, "Old-Age"
)</f>
        <v>Mid-Age</v>
      </c>
      <c r="H342" s="3" t="s">
        <v>14</v>
      </c>
      <c r="I342" s="3">
        <v>4</v>
      </c>
      <c r="J342" s="3">
        <v>50</v>
      </c>
      <c r="K342" s="3">
        <v>200</v>
      </c>
      <c r="L342" s="3">
        <f t="shared" si="11"/>
        <v>0.75681036038279847</v>
      </c>
    </row>
    <row r="343" spans="1:12" x14ac:dyDescent="0.3">
      <c r="A343" s="3">
        <v>342</v>
      </c>
      <c r="B343" s="4">
        <v>45223</v>
      </c>
      <c r="C343" s="9" t="str">
        <f t="shared" si="10"/>
        <v>October</v>
      </c>
      <c r="D343" s="3" t="s">
        <v>355</v>
      </c>
      <c r="E343" s="3" t="s">
        <v>13</v>
      </c>
      <c r="F343" s="3">
        <v>43</v>
      </c>
      <c r="G343" s="8" t="str" cm="1">
        <f t="array" ref="G343">_xlfn.IFS(
    F343 &lt; 25, "Young",
    F343 &lt;= 40, "Mid-Age",
    F343 &gt; 40, "Old-Age"
)</f>
        <v>Old-Age</v>
      </c>
      <c r="H343" s="3" t="s">
        <v>14</v>
      </c>
      <c r="I343" s="3">
        <v>4</v>
      </c>
      <c r="J343" s="3">
        <v>500</v>
      </c>
      <c r="K343" s="3">
        <v>2000</v>
      </c>
      <c r="L343" s="3">
        <f t="shared" si="11"/>
        <v>0.75441272548013938</v>
      </c>
    </row>
    <row r="344" spans="1:12" x14ac:dyDescent="0.3">
      <c r="A344" s="3">
        <v>343</v>
      </c>
      <c r="B344" s="4">
        <v>45231</v>
      </c>
      <c r="C344" s="9" t="str">
        <f t="shared" si="10"/>
        <v>November</v>
      </c>
      <c r="D344" s="3" t="s">
        <v>356</v>
      </c>
      <c r="E344" s="3" t="s">
        <v>10</v>
      </c>
      <c r="F344" s="3">
        <v>21</v>
      </c>
      <c r="G344" s="8" t="str" cm="1">
        <f t="array" ref="G344">_xlfn.IFS(
    F344 &lt; 25, "Young",
    F344 &lt;= 40, "Mid-Age",
    F344 &gt; 40, "Old-Age"
)</f>
        <v>Young</v>
      </c>
      <c r="H344" s="3" t="s">
        <v>16</v>
      </c>
      <c r="I344" s="3">
        <v>2</v>
      </c>
      <c r="J344" s="3">
        <v>25</v>
      </c>
      <c r="K344" s="3">
        <v>50</v>
      </c>
      <c r="L344" s="3">
        <f t="shared" si="11"/>
        <v>0.75906628503250917</v>
      </c>
    </row>
    <row r="345" spans="1:12" x14ac:dyDescent="0.3">
      <c r="A345" s="3">
        <v>344</v>
      </c>
      <c r="B345" s="4">
        <v>44947</v>
      </c>
      <c r="C345" s="9" t="str">
        <f t="shared" si="10"/>
        <v>January</v>
      </c>
      <c r="D345" s="3" t="s">
        <v>357</v>
      </c>
      <c r="E345" s="3" t="s">
        <v>13</v>
      </c>
      <c r="F345" s="3">
        <v>42</v>
      </c>
      <c r="G345" s="8" t="str" cm="1">
        <f t="array" ref="G345">_xlfn.IFS(
    F345 &lt; 25, "Young",
    F345 &lt;= 40, "Mid-Age",
    F345 &gt; 40, "Old-Age"
)</f>
        <v>Old-Age</v>
      </c>
      <c r="H345" s="3" t="s">
        <v>11</v>
      </c>
      <c r="I345" s="3">
        <v>1</v>
      </c>
      <c r="J345" s="3">
        <v>30</v>
      </c>
      <c r="K345" s="3">
        <v>30</v>
      </c>
      <c r="L345" s="3">
        <f t="shared" si="11"/>
        <v>0.75673187897332883</v>
      </c>
    </row>
    <row r="346" spans="1:12" x14ac:dyDescent="0.3">
      <c r="A346" s="3">
        <v>345</v>
      </c>
      <c r="B346" s="4">
        <v>45244</v>
      </c>
      <c r="C346" s="9" t="str">
        <f t="shared" si="10"/>
        <v>November</v>
      </c>
      <c r="D346" s="3" t="s">
        <v>358</v>
      </c>
      <c r="E346" s="3" t="s">
        <v>10</v>
      </c>
      <c r="F346" s="3">
        <v>62</v>
      </c>
      <c r="G346" s="8" t="str" cm="1">
        <f t="array" ref="G346">_xlfn.IFS(
    F346 &lt; 25, "Young",
    F346 &lt;= 40, "Mid-Age",
    F346 &gt; 40, "Old-Age"
)</f>
        <v>Old-Age</v>
      </c>
      <c r="H346" s="3" t="s">
        <v>16</v>
      </c>
      <c r="I346" s="3">
        <v>1</v>
      </c>
      <c r="J346" s="3">
        <v>30</v>
      </c>
      <c r="K346" s="3">
        <v>30</v>
      </c>
      <c r="L346" s="3">
        <f t="shared" si="11"/>
        <v>0.75436467388775552</v>
      </c>
    </row>
    <row r="347" spans="1:12" x14ac:dyDescent="0.3">
      <c r="A347" s="3">
        <v>346</v>
      </c>
      <c r="B347" s="4">
        <v>44968</v>
      </c>
      <c r="C347" s="9" t="str">
        <f t="shared" si="10"/>
        <v>February</v>
      </c>
      <c r="D347" s="3" t="s">
        <v>359</v>
      </c>
      <c r="E347" s="3" t="s">
        <v>10</v>
      </c>
      <c r="F347" s="3">
        <v>59</v>
      </c>
      <c r="G347" s="8" t="str" cm="1">
        <f t="array" ref="G347">_xlfn.IFS(
    F347 &lt; 25, "Young",
    F347 &lt;= 40, "Mid-Age",
    F347 &gt; 40, "Old-Age"
)</f>
        <v>Old-Age</v>
      </c>
      <c r="H347" s="3" t="s">
        <v>14</v>
      </c>
      <c r="I347" s="3">
        <v>2</v>
      </c>
      <c r="J347" s="3">
        <v>500</v>
      </c>
      <c r="K347" s="3">
        <v>1000</v>
      </c>
      <c r="L347" s="3">
        <f t="shared" si="11"/>
        <v>0.75199322444406902</v>
      </c>
    </row>
    <row r="348" spans="1:12" x14ac:dyDescent="0.3">
      <c r="A348" s="3">
        <v>347</v>
      </c>
      <c r="B348" s="4">
        <v>45141</v>
      </c>
      <c r="C348" s="9" t="str">
        <f t="shared" si="10"/>
        <v>August</v>
      </c>
      <c r="D348" s="3" t="s">
        <v>360</v>
      </c>
      <c r="E348" s="3" t="s">
        <v>10</v>
      </c>
      <c r="F348" s="3">
        <v>42</v>
      </c>
      <c r="G348" s="8" t="str" cm="1">
        <f t="array" ref="G348">_xlfn.IFS(
    F348 &lt; 25, "Young",
    F348 &lt;= 40, "Mid-Age",
    F348 &gt; 40, "Old-Age"
)</f>
        <v>Old-Age</v>
      </c>
      <c r="H348" s="3" t="s">
        <v>16</v>
      </c>
      <c r="I348" s="3">
        <v>1</v>
      </c>
      <c r="J348" s="3">
        <v>25</v>
      </c>
      <c r="K348" s="3">
        <v>25</v>
      </c>
      <c r="L348" s="3">
        <f t="shared" si="11"/>
        <v>0.75666063434390762</v>
      </c>
    </row>
    <row r="349" spans="1:12" x14ac:dyDescent="0.3">
      <c r="A349" s="3">
        <v>348</v>
      </c>
      <c r="B349" s="4">
        <v>45263</v>
      </c>
      <c r="C349" s="9" t="str">
        <f t="shared" si="10"/>
        <v>December</v>
      </c>
      <c r="D349" s="3" t="s">
        <v>361</v>
      </c>
      <c r="E349" s="3" t="s">
        <v>13</v>
      </c>
      <c r="F349" s="3">
        <v>35</v>
      </c>
      <c r="G349" s="8" t="str" cm="1">
        <f t="array" ref="G349">_xlfn.IFS(
    F349 &lt; 25, "Young",
    F349 &lt;= 40, "Mid-Age",
    F349 &gt; 40, "Old-Age"
)</f>
        <v>Mid-Age</v>
      </c>
      <c r="H349" s="3" t="s">
        <v>16</v>
      </c>
      <c r="I349" s="3">
        <v>2</v>
      </c>
      <c r="J349" s="3">
        <v>300</v>
      </c>
      <c r="K349" s="3">
        <v>600</v>
      </c>
      <c r="L349" s="3">
        <f t="shared" si="11"/>
        <v>0.75431198998648619</v>
      </c>
    </row>
    <row r="350" spans="1:12" x14ac:dyDescent="0.3">
      <c r="A350" s="3">
        <v>349</v>
      </c>
      <c r="B350" s="4">
        <v>45225</v>
      </c>
      <c r="C350" s="9" t="str">
        <f t="shared" si="10"/>
        <v>October</v>
      </c>
      <c r="D350" s="3" t="s">
        <v>362</v>
      </c>
      <c r="E350" s="3" t="s">
        <v>13</v>
      </c>
      <c r="F350" s="3">
        <v>57</v>
      </c>
      <c r="G350" s="8" t="str" cm="1">
        <f t="array" ref="G350">_xlfn.IFS(
    F350 &lt; 25, "Young",
    F350 &lt;= 40, "Mid-Age",
    F350 &gt; 40, "Old-Age"
)</f>
        <v>Old-Age</v>
      </c>
      <c r="H350" s="3" t="s">
        <v>11</v>
      </c>
      <c r="I350" s="3">
        <v>1</v>
      </c>
      <c r="J350" s="3">
        <v>50</v>
      </c>
      <c r="K350" s="3">
        <v>50</v>
      </c>
      <c r="L350" s="3">
        <f t="shared" si="11"/>
        <v>0.75705206786960588</v>
      </c>
    </row>
    <row r="351" spans="1:12" x14ac:dyDescent="0.3">
      <c r="A351" s="3">
        <v>350</v>
      </c>
      <c r="B351" s="4">
        <v>45216</v>
      </c>
      <c r="C351" s="9" t="str">
        <f t="shared" si="10"/>
        <v>October</v>
      </c>
      <c r="D351" s="3" t="s">
        <v>363</v>
      </c>
      <c r="E351" s="3" t="s">
        <v>10</v>
      </c>
      <c r="F351" s="3">
        <v>25</v>
      </c>
      <c r="G351" s="8" t="str" cm="1">
        <f t="array" ref="G351">_xlfn.IFS(
    F351 &lt; 25, "Young",
    F351 &lt;= 40, "Mid-Age",
    F351 &gt; 40, "Old-Age"
)</f>
        <v>Mid-Age</v>
      </c>
      <c r="H351" s="3" t="s">
        <v>11</v>
      </c>
      <c r="I351" s="3">
        <v>3</v>
      </c>
      <c r="J351" s="3">
        <v>25</v>
      </c>
      <c r="K351" s="3">
        <v>75</v>
      </c>
      <c r="L351" s="3">
        <f t="shared" si="11"/>
        <v>0.7546249674930795</v>
      </c>
    </row>
    <row r="352" spans="1:12" x14ac:dyDescent="0.3">
      <c r="A352" s="3">
        <v>351</v>
      </c>
      <c r="B352" s="4">
        <v>45194</v>
      </c>
      <c r="C352" s="9" t="str">
        <f t="shared" si="10"/>
        <v>September</v>
      </c>
      <c r="D352" s="3" t="s">
        <v>364</v>
      </c>
      <c r="E352" s="3" t="s">
        <v>13</v>
      </c>
      <c r="F352" s="3">
        <v>56</v>
      </c>
      <c r="G352" s="8" t="str" cm="1">
        <f t="array" ref="G352">_xlfn.IFS(
    F352 &lt; 25, "Young",
    F352 &lt;= 40, "Mid-Age",
    F352 &gt; 40, "Old-Age"
)</f>
        <v>Old-Age</v>
      </c>
      <c r="H352" s="3" t="s">
        <v>14</v>
      </c>
      <c r="I352" s="3">
        <v>3</v>
      </c>
      <c r="J352" s="3">
        <v>30</v>
      </c>
      <c r="K352" s="3">
        <v>90</v>
      </c>
      <c r="L352" s="3">
        <f t="shared" si="11"/>
        <v>0.75226440702611952</v>
      </c>
    </row>
    <row r="353" spans="1:12" x14ac:dyDescent="0.3">
      <c r="A353" s="3">
        <v>352</v>
      </c>
      <c r="B353" s="4">
        <v>45088</v>
      </c>
      <c r="C353" s="9" t="str">
        <f t="shared" si="10"/>
        <v>June</v>
      </c>
      <c r="D353" s="3" t="s">
        <v>365</v>
      </c>
      <c r="E353" s="3" t="s">
        <v>10</v>
      </c>
      <c r="F353" s="3">
        <v>57</v>
      </c>
      <c r="G353" s="8" t="str" cm="1">
        <f t="array" ref="G353">_xlfn.IFS(
    F353 &lt; 25, "Young",
    F353 &lt;= 40, "Mid-Age",
    F353 &gt; 40, "Old-Age"
)</f>
        <v>Old-Age</v>
      </c>
      <c r="H353" s="3" t="s">
        <v>16</v>
      </c>
      <c r="I353" s="3">
        <v>2</v>
      </c>
      <c r="J353" s="3">
        <v>500</v>
      </c>
      <c r="K353" s="3">
        <v>1000</v>
      </c>
      <c r="L353" s="3">
        <f t="shared" si="11"/>
        <v>0.74987053947475468</v>
      </c>
    </row>
    <row r="354" spans="1:12" x14ac:dyDescent="0.3">
      <c r="A354" s="3">
        <v>353</v>
      </c>
      <c r="B354" s="4">
        <v>45060</v>
      </c>
      <c r="C354" s="9" t="str">
        <f t="shared" si="10"/>
        <v>May</v>
      </c>
      <c r="D354" s="3" t="s">
        <v>366</v>
      </c>
      <c r="E354" s="3" t="s">
        <v>10</v>
      </c>
      <c r="F354" s="3">
        <v>31</v>
      </c>
      <c r="G354" s="8" t="str" cm="1">
        <f t="array" ref="G354">_xlfn.IFS(
    F354 &lt; 25, "Young",
    F354 &lt;= 40, "Mid-Age",
    F354 &gt; 40, "Old-Age"
)</f>
        <v>Mid-Age</v>
      </c>
      <c r="H354" s="3" t="s">
        <v>16</v>
      </c>
      <c r="I354" s="3">
        <v>1</v>
      </c>
      <c r="J354" s="3">
        <v>500</v>
      </c>
      <c r="K354" s="3">
        <v>500</v>
      </c>
      <c r="L354" s="3">
        <f t="shared" si="11"/>
        <v>0.75457278861968813</v>
      </c>
    </row>
    <row r="355" spans="1:12" x14ac:dyDescent="0.3">
      <c r="A355" s="3">
        <v>354</v>
      </c>
      <c r="B355" s="4">
        <v>45031</v>
      </c>
      <c r="C355" s="9" t="str">
        <f t="shared" si="10"/>
        <v>April</v>
      </c>
      <c r="D355" s="3" t="s">
        <v>367</v>
      </c>
      <c r="E355" s="3" t="s">
        <v>13</v>
      </c>
      <c r="F355" s="3">
        <v>49</v>
      </c>
      <c r="G355" s="8" t="str" cm="1">
        <f t="array" ref="G355">_xlfn.IFS(
    F355 &lt; 25, "Young",
    F355 &lt;= 40, "Mid-Age",
    F355 &gt; 40, "Old-Age"
)</f>
        <v>Old-Age</v>
      </c>
      <c r="H355" s="3" t="s">
        <v>11</v>
      </c>
      <c r="I355" s="3">
        <v>4</v>
      </c>
      <c r="J355" s="3">
        <v>50</v>
      </c>
      <c r="K355" s="3">
        <v>200</v>
      </c>
      <c r="L355" s="3">
        <f t="shared" si="11"/>
        <v>0.75929501715657666</v>
      </c>
    </row>
    <row r="356" spans="1:12" x14ac:dyDescent="0.3">
      <c r="A356" s="3">
        <v>355</v>
      </c>
      <c r="B356" s="4">
        <v>45269</v>
      </c>
      <c r="C356" s="9" t="str">
        <f t="shared" si="10"/>
        <v>December</v>
      </c>
      <c r="D356" s="3" t="s">
        <v>368</v>
      </c>
      <c r="E356" s="3" t="s">
        <v>13</v>
      </c>
      <c r="F356" s="3">
        <v>55</v>
      </c>
      <c r="G356" s="8" t="str" cm="1">
        <f t="array" ref="G356">_xlfn.IFS(
    F356 &lt; 25, "Young",
    F356 &lt;= 40, "Mid-Age",
    F356 &gt; 40, "Old-Age"
)</f>
        <v>Old-Age</v>
      </c>
      <c r="H356" s="3" t="s">
        <v>16</v>
      </c>
      <c r="I356" s="3">
        <v>1</v>
      </c>
      <c r="J356" s="3">
        <v>500</v>
      </c>
      <c r="K356" s="3">
        <v>500</v>
      </c>
      <c r="L356" s="3">
        <f t="shared" si="11"/>
        <v>0.75684983503921266</v>
      </c>
    </row>
    <row r="357" spans="1:12" x14ac:dyDescent="0.3">
      <c r="A357" s="3">
        <v>356</v>
      </c>
      <c r="B357" s="4">
        <v>45087</v>
      </c>
      <c r="C357" s="9" t="str">
        <f t="shared" si="10"/>
        <v>June</v>
      </c>
      <c r="D357" s="3" t="s">
        <v>369</v>
      </c>
      <c r="E357" s="3" t="s">
        <v>10</v>
      </c>
      <c r="F357" s="3">
        <v>50</v>
      </c>
      <c r="G357" s="8" t="str" cm="1">
        <f t="array" ref="G357">_xlfn.IFS(
    F357 &lt; 25, "Young",
    F357 &lt;= 40, "Mid-Age",
    F357 &gt; 40, "Old-Age"
)</f>
        <v>Old-Age</v>
      </c>
      <c r="H357" s="3" t="s">
        <v>16</v>
      </c>
      <c r="I357" s="3">
        <v>3</v>
      </c>
      <c r="J357" s="3">
        <v>500</v>
      </c>
      <c r="K357" s="3">
        <v>1500</v>
      </c>
      <c r="L357" s="3">
        <f t="shared" si="11"/>
        <v>0.7615899478764997</v>
      </c>
    </row>
    <row r="358" spans="1:12" x14ac:dyDescent="0.3">
      <c r="A358" s="3">
        <v>357</v>
      </c>
      <c r="B358" s="4">
        <v>45049</v>
      </c>
      <c r="C358" s="9" t="str">
        <f t="shared" si="10"/>
        <v>May</v>
      </c>
      <c r="D358" s="3" t="s">
        <v>370</v>
      </c>
      <c r="E358" s="3" t="s">
        <v>13</v>
      </c>
      <c r="F358" s="3">
        <v>40</v>
      </c>
      <c r="G358" s="8" t="str" cm="1">
        <f t="array" ref="G358">_xlfn.IFS(
    F358 &lt; 25, "Young",
    F358 &lt;= 40, "Mid-Age",
    F358 &gt; 40, "Old-Age"
)</f>
        <v>Mid-Age</v>
      </c>
      <c r="H358" s="3" t="s">
        <v>16</v>
      </c>
      <c r="I358" s="3">
        <v>3</v>
      </c>
      <c r="J358" s="3">
        <v>25</v>
      </c>
      <c r="K358" s="3">
        <v>75</v>
      </c>
      <c r="L358" s="3">
        <f t="shared" si="11"/>
        <v>0.7663501930418366</v>
      </c>
    </row>
    <row r="359" spans="1:12" x14ac:dyDescent="0.3">
      <c r="A359" s="3">
        <v>358</v>
      </c>
      <c r="B359" s="4">
        <v>45062</v>
      </c>
      <c r="C359" s="9" t="str">
        <f t="shared" si="10"/>
        <v>May</v>
      </c>
      <c r="D359" s="3" t="s">
        <v>371</v>
      </c>
      <c r="E359" s="3" t="s">
        <v>13</v>
      </c>
      <c r="F359" s="3">
        <v>32</v>
      </c>
      <c r="G359" s="8" t="str" cm="1">
        <f t="array" ref="G359">_xlfn.IFS(
    F359 &lt; 25, "Young",
    F359 &lt;= 40, "Mid-Age",
    F359 &gt; 40, "Old-Age"
)</f>
        <v>Mid-Age</v>
      </c>
      <c r="H359" s="3" t="s">
        <v>11</v>
      </c>
      <c r="I359" s="3">
        <v>1</v>
      </c>
      <c r="J359" s="3">
        <v>300</v>
      </c>
      <c r="K359" s="3">
        <v>300</v>
      </c>
      <c r="L359" s="3">
        <f t="shared" si="11"/>
        <v>0.7639689544788727</v>
      </c>
    </row>
    <row r="360" spans="1:12" x14ac:dyDescent="0.3">
      <c r="A360" s="3">
        <v>359</v>
      </c>
      <c r="B360" s="4">
        <v>45129</v>
      </c>
      <c r="C360" s="9" t="str">
        <f t="shared" si="10"/>
        <v>July</v>
      </c>
      <c r="D360" s="3" t="s">
        <v>372</v>
      </c>
      <c r="E360" s="3" t="s">
        <v>10</v>
      </c>
      <c r="F360" s="3">
        <v>50</v>
      </c>
      <c r="G360" s="8" t="str" cm="1">
        <f t="array" ref="G360">_xlfn.IFS(
    F360 &lt; 25, "Young",
    F360 &lt;= 40, "Mid-Age",
    F360 &gt; 40, "Old-Age"
)</f>
        <v>Old-Age</v>
      </c>
      <c r="H360" s="3" t="s">
        <v>14</v>
      </c>
      <c r="I360" s="3">
        <v>1</v>
      </c>
      <c r="J360" s="3">
        <v>50</v>
      </c>
      <c r="K360" s="3">
        <v>50</v>
      </c>
      <c r="L360" s="3">
        <f t="shared" si="11"/>
        <v>0.76679625362299442</v>
      </c>
    </row>
    <row r="361" spans="1:12" x14ac:dyDescent="0.3">
      <c r="A361" s="3">
        <v>360</v>
      </c>
      <c r="B361" s="4">
        <v>44994</v>
      </c>
      <c r="C361" s="9" t="str">
        <f t="shared" si="10"/>
        <v>March</v>
      </c>
      <c r="D361" s="3" t="s">
        <v>373</v>
      </c>
      <c r="E361" s="3" t="s">
        <v>10</v>
      </c>
      <c r="F361" s="3">
        <v>42</v>
      </c>
      <c r="G361" s="8" t="str" cm="1">
        <f t="array" ref="G361">_xlfn.IFS(
    F361 &lt; 25, "Young",
    F361 &lt;= 40, "Mid-Age",
    F361 &gt; 40, "Old-Age"
)</f>
        <v>Old-Age</v>
      </c>
      <c r="H361" s="3" t="s">
        <v>14</v>
      </c>
      <c r="I361" s="3">
        <v>4</v>
      </c>
      <c r="J361" s="3">
        <v>25</v>
      </c>
      <c r="K361" s="3">
        <v>100</v>
      </c>
      <c r="L361" s="3">
        <f t="shared" si="11"/>
        <v>0.76433456039602932</v>
      </c>
    </row>
    <row r="362" spans="1:12" x14ac:dyDescent="0.3">
      <c r="A362" s="3">
        <v>361</v>
      </c>
      <c r="B362" s="4">
        <v>45270</v>
      </c>
      <c r="C362" s="9" t="str">
        <f t="shared" si="10"/>
        <v>December</v>
      </c>
      <c r="D362" s="3" t="s">
        <v>374</v>
      </c>
      <c r="E362" s="3" t="s">
        <v>13</v>
      </c>
      <c r="F362" s="3">
        <v>34</v>
      </c>
      <c r="G362" s="8" t="str" cm="1">
        <f t="array" ref="G362">_xlfn.IFS(
    F362 &lt; 25, "Young",
    F362 &lt;= 40, "Mid-Age",
    F362 &gt; 40, "Old-Age"
)</f>
        <v>Mid-Age</v>
      </c>
      <c r="H362" s="3" t="s">
        <v>16</v>
      </c>
      <c r="I362" s="3">
        <v>4</v>
      </c>
      <c r="J362" s="3">
        <v>300</v>
      </c>
      <c r="K362" s="3">
        <v>1200</v>
      </c>
      <c r="L362" s="3">
        <f t="shared" si="11"/>
        <v>0.76194108978776653</v>
      </c>
    </row>
    <row r="363" spans="1:12" x14ac:dyDescent="0.3">
      <c r="A363" s="3">
        <v>362</v>
      </c>
      <c r="B363" s="4">
        <v>45257</v>
      </c>
      <c r="C363" s="9" t="str">
        <f t="shared" si="10"/>
        <v>November</v>
      </c>
      <c r="D363" s="3" t="s">
        <v>375</v>
      </c>
      <c r="E363" s="3" t="s">
        <v>10</v>
      </c>
      <c r="F363" s="3">
        <v>50</v>
      </c>
      <c r="G363" s="8" t="str" cm="1">
        <f t="array" ref="G363">_xlfn.IFS(
    F363 &lt; 25, "Young",
    F363 &lt;= 40, "Mid-Age",
    F363 &gt; 40, "Old-Age"
)</f>
        <v>Old-Age</v>
      </c>
      <c r="H363" s="3" t="s">
        <v>14</v>
      </c>
      <c r="I363" s="3">
        <v>1</v>
      </c>
      <c r="J363" s="3">
        <v>25</v>
      </c>
      <c r="K363" s="3">
        <v>25</v>
      </c>
      <c r="L363" s="3">
        <f t="shared" si="11"/>
        <v>0.76477098950810551</v>
      </c>
    </row>
    <row r="364" spans="1:12" x14ac:dyDescent="0.3">
      <c r="A364" s="3">
        <v>363</v>
      </c>
      <c r="B364" s="4">
        <v>45080</v>
      </c>
      <c r="C364" s="9" t="str">
        <f t="shared" si="10"/>
        <v>June</v>
      </c>
      <c r="D364" s="3" t="s">
        <v>376</v>
      </c>
      <c r="E364" s="3" t="s">
        <v>10</v>
      </c>
      <c r="F364" s="3">
        <v>64</v>
      </c>
      <c r="G364" s="8" t="str" cm="1">
        <f t="array" ref="G364">_xlfn.IFS(
    F364 &lt; 25, "Young",
    F364 &lt;= 40, "Mid-Age",
    F364 &gt; 40, "Old-Age"
)</f>
        <v>Old-Age</v>
      </c>
      <c r="H364" s="3" t="s">
        <v>11</v>
      </c>
      <c r="I364" s="3">
        <v>1</v>
      </c>
      <c r="J364" s="3">
        <v>25</v>
      </c>
      <c r="K364" s="3">
        <v>25</v>
      </c>
      <c r="L364" s="3">
        <f t="shared" si="11"/>
        <v>0.76236990160421603</v>
      </c>
    </row>
    <row r="365" spans="1:12" x14ac:dyDescent="0.3">
      <c r="A365" s="3">
        <v>364</v>
      </c>
      <c r="B365" s="4">
        <v>45161</v>
      </c>
      <c r="C365" s="9" t="str">
        <f t="shared" si="10"/>
        <v>August</v>
      </c>
      <c r="D365" s="3" t="s">
        <v>377</v>
      </c>
      <c r="E365" s="3" t="s">
        <v>13</v>
      </c>
      <c r="F365" s="3">
        <v>19</v>
      </c>
      <c r="G365" s="8" t="str" cm="1">
        <f t="array" ref="G365">_xlfn.IFS(
    F365 &lt; 25, "Young",
    F365 &lt;= 40, "Mid-Age",
    F365 &gt; 40, "Old-Age"
)</f>
        <v>Young</v>
      </c>
      <c r="H365" s="3" t="s">
        <v>11</v>
      </c>
      <c r="I365" s="3">
        <v>1</v>
      </c>
      <c r="J365" s="3">
        <v>500</v>
      </c>
      <c r="K365" s="3">
        <v>500</v>
      </c>
      <c r="L365" s="3">
        <f t="shared" si="11"/>
        <v>0.75996454863665186</v>
      </c>
    </row>
    <row r="366" spans="1:12" x14ac:dyDescent="0.3">
      <c r="A366" s="3">
        <v>365</v>
      </c>
      <c r="B366" s="4">
        <v>45088</v>
      </c>
      <c r="C366" s="9" t="str">
        <f t="shared" si="10"/>
        <v>June</v>
      </c>
      <c r="D366" s="3" t="s">
        <v>378</v>
      </c>
      <c r="E366" s="3" t="s">
        <v>10</v>
      </c>
      <c r="F366" s="3">
        <v>31</v>
      </c>
      <c r="G366" s="8" t="str" cm="1">
        <f t="array" ref="G366">_xlfn.IFS(
    F366 &lt; 25, "Young",
    F366 &lt;= 40, "Mid-Age",
    F366 &gt; 40, "Old-Age"
)</f>
        <v>Mid-Age</v>
      </c>
      <c r="H366" s="3" t="s">
        <v>14</v>
      </c>
      <c r="I366" s="3">
        <v>1</v>
      </c>
      <c r="J366" s="3">
        <v>300</v>
      </c>
      <c r="K366" s="3">
        <v>300</v>
      </c>
      <c r="L366" s="3">
        <f t="shared" si="11"/>
        <v>0.7647835322123826</v>
      </c>
    </row>
    <row r="367" spans="1:12" x14ac:dyDescent="0.3">
      <c r="A367" s="3">
        <v>366</v>
      </c>
      <c r="B367" s="4">
        <v>44964</v>
      </c>
      <c r="C367" s="9" t="str">
        <f t="shared" si="10"/>
        <v>February</v>
      </c>
      <c r="D367" s="3" t="s">
        <v>379</v>
      </c>
      <c r="E367" s="3" t="s">
        <v>10</v>
      </c>
      <c r="F367" s="3">
        <v>57</v>
      </c>
      <c r="G367" s="8" t="str" cm="1">
        <f t="array" ref="G367">_xlfn.IFS(
    F367 &lt; 25, "Young",
    F367 &lt;= 40, "Mid-Age",
    F367 &gt; 40, "Old-Age"
)</f>
        <v>Old-Age</v>
      </c>
      <c r="H367" s="3" t="s">
        <v>14</v>
      </c>
      <c r="I367" s="3">
        <v>2</v>
      </c>
      <c r="J367" s="3">
        <v>50</v>
      </c>
      <c r="K367" s="3">
        <v>100</v>
      </c>
      <c r="L367" s="3">
        <f t="shared" si="11"/>
        <v>0.7676399699150882</v>
      </c>
    </row>
    <row r="368" spans="1:12" x14ac:dyDescent="0.3">
      <c r="A368" s="3">
        <v>367</v>
      </c>
      <c r="B368" s="4">
        <v>44931</v>
      </c>
      <c r="C368" s="9" t="str">
        <f t="shared" si="10"/>
        <v>January</v>
      </c>
      <c r="D368" s="3" t="s">
        <v>380</v>
      </c>
      <c r="E368" s="3" t="s">
        <v>13</v>
      </c>
      <c r="F368" s="3">
        <v>57</v>
      </c>
      <c r="G368" s="8" t="str" cm="1">
        <f t="array" ref="G368">_xlfn.IFS(
    F368 &lt; 25, "Young",
    F368 &lt;= 40, "Mid-Age",
    F368 &gt; 40, "Old-Age"
)</f>
        <v>Old-Age</v>
      </c>
      <c r="H368" s="3" t="s">
        <v>16</v>
      </c>
      <c r="I368" s="3">
        <v>1</v>
      </c>
      <c r="J368" s="3">
        <v>50</v>
      </c>
      <c r="K368" s="3">
        <v>50</v>
      </c>
      <c r="L368" s="3">
        <f t="shared" si="11"/>
        <v>0.7651513654633717</v>
      </c>
    </row>
    <row r="369" spans="1:12" x14ac:dyDescent="0.3">
      <c r="A369" s="3">
        <v>368</v>
      </c>
      <c r="B369" s="4">
        <v>45161</v>
      </c>
      <c r="C369" s="9" t="str">
        <f t="shared" si="10"/>
        <v>August</v>
      </c>
      <c r="D369" s="3" t="s">
        <v>381</v>
      </c>
      <c r="E369" s="3" t="s">
        <v>13</v>
      </c>
      <c r="F369" s="3">
        <v>56</v>
      </c>
      <c r="G369" s="8" t="str" cm="1">
        <f t="array" ref="G369">_xlfn.IFS(
    F369 &lt; 25, "Young",
    F369 &lt;= 40, "Mid-Age",
    F369 &gt; 40, "Old-Age"
)</f>
        <v>Old-Age</v>
      </c>
      <c r="H369" s="3" t="s">
        <v>14</v>
      </c>
      <c r="I369" s="3">
        <v>4</v>
      </c>
      <c r="J369" s="3">
        <v>300</v>
      </c>
      <c r="K369" s="3">
        <v>1200</v>
      </c>
      <c r="L369" s="3">
        <f t="shared" si="11"/>
        <v>0.76265798963983944</v>
      </c>
    </row>
    <row r="370" spans="1:12" x14ac:dyDescent="0.3">
      <c r="A370" s="3">
        <v>369</v>
      </c>
      <c r="B370" s="4">
        <v>45245</v>
      </c>
      <c r="C370" s="9" t="str">
        <f t="shared" si="10"/>
        <v>November</v>
      </c>
      <c r="D370" s="3" t="s">
        <v>382</v>
      </c>
      <c r="E370" s="3" t="s">
        <v>10</v>
      </c>
      <c r="F370" s="3">
        <v>23</v>
      </c>
      <c r="G370" s="8" t="str" cm="1">
        <f t="array" ref="G370">_xlfn.IFS(
    F370 &lt; 25, "Young",
    F370 &lt;= 40, "Mid-Age",
    F370 &gt; 40, "Old-Age"
)</f>
        <v>Young</v>
      </c>
      <c r="H370" s="3" t="s">
        <v>16</v>
      </c>
      <c r="I370" s="3">
        <v>3</v>
      </c>
      <c r="J370" s="3">
        <v>500</v>
      </c>
      <c r="K370" s="3">
        <v>1500</v>
      </c>
      <c r="L370" s="3">
        <f t="shared" si="11"/>
        <v>0.76551760204423014</v>
      </c>
    </row>
    <row r="371" spans="1:12" x14ac:dyDescent="0.3">
      <c r="A371" s="3">
        <v>370</v>
      </c>
      <c r="B371" s="4">
        <v>45215</v>
      </c>
      <c r="C371" s="9" t="str">
        <f t="shared" si="10"/>
        <v>October</v>
      </c>
      <c r="D371" s="3" t="s">
        <v>383</v>
      </c>
      <c r="E371" s="3" t="s">
        <v>10</v>
      </c>
      <c r="F371" s="3">
        <v>23</v>
      </c>
      <c r="G371" s="8" t="str" cm="1">
        <f t="array" ref="G371">_xlfn.IFS(
    F371 &lt; 25, "Young",
    F371 &lt;= 40, "Mid-Age",
    F371 &gt; 40, "Old-Age"
)</f>
        <v>Young</v>
      </c>
      <c r="H371" s="3" t="s">
        <v>16</v>
      </c>
      <c r="I371" s="3">
        <v>2</v>
      </c>
      <c r="J371" s="3">
        <v>30</v>
      </c>
      <c r="K371" s="3">
        <v>60</v>
      </c>
      <c r="L371" s="3">
        <f t="shared" si="11"/>
        <v>0.77040251418692551</v>
      </c>
    </row>
    <row r="372" spans="1:12" x14ac:dyDescent="0.3">
      <c r="A372" s="3">
        <v>371</v>
      </c>
      <c r="B372" s="4">
        <v>44978</v>
      </c>
      <c r="C372" s="9" t="str">
        <f t="shared" si="10"/>
        <v>February</v>
      </c>
      <c r="D372" s="3" t="s">
        <v>384</v>
      </c>
      <c r="E372" s="3" t="s">
        <v>13</v>
      </c>
      <c r="F372" s="3">
        <v>20</v>
      </c>
      <c r="G372" s="8" t="str" cm="1">
        <f t="array" ref="G372">_xlfn.IFS(
    F372 &lt; 25, "Young",
    F372 &lt;= 40, "Mid-Age",
    F372 &gt; 40, "Old-Age"
)</f>
        <v>Young</v>
      </c>
      <c r="H372" s="3" t="s">
        <v>11</v>
      </c>
      <c r="I372" s="3">
        <v>1</v>
      </c>
      <c r="J372" s="3">
        <v>25</v>
      </c>
      <c r="K372" s="3">
        <v>25</v>
      </c>
      <c r="L372" s="3">
        <f t="shared" si="11"/>
        <v>0.76794224883912121</v>
      </c>
    </row>
    <row r="373" spans="1:12" x14ac:dyDescent="0.3">
      <c r="A373" s="3">
        <v>372</v>
      </c>
      <c r="B373" s="4">
        <v>44964</v>
      </c>
      <c r="C373" s="9" t="str">
        <f t="shared" si="10"/>
        <v>February</v>
      </c>
      <c r="D373" s="3" t="s">
        <v>385</v>
      </c>
      <c r="E373" s="3" t="s">
        <v>13</v>
      </c>
      <c r="F373" s="3">
        <v>24</v>
      </c>
      <c r="G373" s="8" t="str" cm="1">
        <f t="array" ref="G373">_xlfn.IFS(
    F373 &lt; 25, "Young",
    F373 &lt;= 40, "Mid-Age",
    F373 &gt; 40, "Old-Age"
)</f>
        <v>Young</v>
      </c>
      <c r="H373" s="3" t="s">
        <v>11</v>
      </c>
      <c r="I373" s="3">
        <v>3</v>
      </c>
      <c r="J373" s="3">
        <v>500</v>
      </c>
      <c r="K373" s="3">
        <v>1500</v>
      </c>
      <c r="L373" s="3">
        <f t="shared" si="11"/>
        <v>0.76550763427680768</v>
      </c>
    </row>
    <row r="374" spans="1:12" x14ac:dyDescent="0.3">
      <c r="A374" s="3">
        <v>373</v>
      </c>
      <c r="B374" s="4">
        <v>45202</v>
      </c>
      <c r="C374" s="9" t="str">
        <f t="shared" si="10"/>
        <v>October</v>
      </c>
      <c r="D374" s="3" t="s">
        <v>386</v>
      </c>
      <c r="E374" s="3" t="s">
        <v>13</v>
      </c>
      <c r="F374" s="3">
        <v>25</v>
      </c>
      <c r="G374" s="8" t="str" cm="1">
        <f t="array" ref="G374">_xlfn.IFS(
    F374 &lt; 25, "Young",
    F374 &lt;= 40, "Mid-Age",
    F374 &gt; 40, "Old-Age"
)</f>
        <v>Mid-Age</v>
      </c>
      <c r="H374" s="3" t="s">
        <v>11</v>
      </c>
      <c r="I374" s="3">
        <v>2</v>
      </c>
      <c r="J374" s="3">
        <v>300</v>
      </c>
      <c r="K374" s="3">
        <v>600</v>
      </c>
      <c r="L374" s="3">
        <f t="shared" si="11"/>
        <v>0.7704097767738638</v>
      </c>
    </row>
    <row r="375" spans="1:12" x14ac:dyDescent="0.3">
      <c r="A375" s="3">
        <v>374</v>
      </c>
      <c r="B375" s="4">
        <v>45036</v>
      </c>
      <c r="C375" s="9" t="str">
        <f t="shared" si="10"/>
        <v>April</v>
      </c>
      <c r="D375" s="3" t="s">
        <v>387</v>
      </c>
      <c r="E375" s="3" t="s">
        <v>13</v>
      </c>
      <c r="F375" s="3">
        <v>59</v>
      </c>
      <c r="G375" s="8" t="str" cm="1">
        <f t="array" ref="G375">_xlfn.IFS(
    F375 &lt; 25, "Young",
    F375 &lt;= 40, "Mid-Age",
    F375 &gt; 40, "Old-Age"
)</f>
        <v>Old-Age</v>
      </c>
      <c r="H375" s="3" t="s">
        <v>11</v>
      </c>
      <c r="I375" s="3">
        <v>3</v>
      </c>
      <c r="J375" s="3">
        <v>25</v>
      </c>
      <c r="K375" s="3">
        <v>75</v>
      </c>
      <c r="L375" s="3">
        <f t="shared" si="11"/>
        <v>0.77332193347898726</v>
      </c>
    </row>
    <row r="376" spans="1:12" x14ac:dyDescent="0.3">
      <c r="A376" s="3">
        <v>375</v>
      </c>
      <c r="B376" s="4">
        <v>45186</v>
      </c>
      <c r="C376" s="9" t="str">
        <f t="shared" si="10"/>
        <v>September</v>
      </c>
      <c r="D376" s="3" t="s">
        <v>388</v>
      </c>
      <c r="E376" s="3" t="s">
        <v>10</v>
      </c>
      <c r="F376" s="3">
        <v>32</v>
      </c>
      <c r="G376" s="8" t="str" cm="1">
        <f t="array" ref="G376">_xlfn.IFS(
    F376 &lt; 25, "Young",
    F376 &lt;= 40, "Mid-Age",
    F376 &gt; 40, "Old-Age"
)</f>
        <v>Mid-Age</v>
      </c>
      <c r="H376" s="3" t="s">
        <v>14</v>
      </c>
      <c r="I376" s="3">
        <v>1</v>
      </c>
      <c r="J376" s="3">
        <v>50</v>
      </c>
      <c r="K376" s="3">
        <v>50</v>
      </c>
      <c r="L376" s="3">
        <f t="shared" si="11"/>
        <v>0.77087737117248345</v>
      </c>
    </row>
    <row r="377" spans="1:12" x14ac:dyDescent="0.3">
      <c r="A377" s="3">
        <v>376</v>
      </c>
      <c r="B377" s="4">
        <v>45062</v>
      </c>
      <c r="C377" s="9" t="str">
        <f t="shared" si="10"/>
        <v>May</v>
      </c>
      <c r="D377" s="3" t="s">
        <v>389</v>
      </c>
      <c r="E377" s="3" t="s">
        <v>13</v>
      </c>
      <c r="F377" s="3">
        <v>64</v>
      </c>
      <c r="G377" s="8" t="str" cm="1">
        <f t="array" ref="G377">_xlfn.IFS(
    F377 &lt; 25, "Young",
    F377 &lt;= 40, "Mid-Age",
    F377 &gt; 40, "Old-Age"
)</f>
        <v>Old-Age</v>
      </c>
      <c r="H377" s="3" t="s">
        <v>11</v>
      </c>
      <c r="I377" s="3">
        <v>1</v>
      </c>
      <c r="J377" s="3">
        <v>30</v>
      </c>
      <c r="K377" s="3">
        <v>30</v>
      </c>
      <c r="L377" s="3">
        <f t="shared" si="11"/>
        <v>0.76835403860367835</v>
      </c>
    </row>
    <row r="378" spans="1:12" x14ac:dyDescent="0.3">
      <c r="A378" s="3">
        <v>377</v>
      </c>
      <c r="B378" s="4">
        <v>44994</v>
      </c>
      <c r="C378" s="9" t="str">
        <f t="shared" si="10"/>
        <v>March</v>
      </c>
      <c r="D378" s="3" t="s">
        <v>390</v>
      </c>
      <c r="E378" s="3" t="s">
        <v>13</v>
      </c>
      <c r="F378" s="3">
        <v>46</v>
      </c>
      <c r="G378" s="8" t="str" cm="1">
        <f t="array" ref="G378">_xlfn.IFS(
    F378 &lt; 25, "Young",
    F378 &lt;= 40, "Mid-Age",
    F378 &gt; 40, "Old-Age"
)</f>
        <v>Old-Age</v>
      </c>
      <c r="H378" s="3" t="s">
        <v>14</v>
      </c>
      <c r="I378" s="3">
        <v>4</v>
      </c>
      <c r="J378" s="3">
        <v>50</v>
      </c>
      <c r="K378" s="3">
        <v>200</v>
      </c>
      <c r="L378" s="3">
        <f t="shared" si="11"/>
        <v>0.76586966190399397</v>
      </c>
    </row>
    <row r="379" spans="1:12" x14ac:dyDescent="0.3">
      <c r="A379" s="3">
        <v>378</v>
      </c>
      <c r="B379" s="4">
        <v>45105</v>
      </c>
      <c r="C379" s="9" t="str">
        <f t="shared" si="10"/>
        <v>June</v>
      </c>
      <c r="D379" s="3" t="s">
        <v>391</v>
      </c>
      <c r="E379" s="3" t="s">
        <v>10</v>
      </c>
      <c r="F379" s="3">
        <v>50</v>
      </c>
      <c r="G379" s="8" t="str" cm="1">
        <f t="array" ref="G379">_xlfn.IFS(
    F379 &lt; 25, "Young",
    F379 &lt;= 40, "Mid-Age",
    F379 &gt; 40, "Old-Age"
)</f>
        <v>Old-Age</v>
      </c>
      <c r="H379" s="3" t="s">
        <v>11</v>
      </c>
      <c r="I379" s="3">
        <v>1</v>
      </c>
      <c r="J379" s="3">
        <v>300</v>
      </c>
      <c r="K379" s="3">
        <v>300</v>
      </c>
      <c r="L379" s="3">
        <f t="shared" si="11"/>
        <v>0.76333648131460308</v>
      </c>
    </row>
    <row r="380" spans="1:12" x14ac:dyDescent="0.3">
      <c r="A380" s="3">
        <v>379</v>
      </c>
      <c r="B380" s="4">
        <v>44962</v>
      </c>
      <c r="C380" s="9" t="str">
        <f t="shared" si="10"/>
        <v>February</v>
      </c>
      <c r="D380" s="3" t="s">
        <v>392</v>
      </c>
      <c r="E380" s="3" t="s">
        <v>13</v>
      </c>
      <c r="F380" s="3">
        <v>47</v>
      </c>
      <c r="G380" s="8" t="str" cm="1">
        <f t="array" ref="G380">_xlfn.IFS(
    F380 &lt; 25, "Young",
    F380 &lt;= 40, "Mid-Age",
    F380 &gt; 40, "Old-Age"
)</f>
        <v>Old-Age</v>
      </c>
      <c r="H380" s="3" t="s">
        <v>14</v>
      </c>
      <c r="I380" s="3">
        <v>1</v>
      </c>
      <c r="J380" s="3">
        <v>25</v>
      </c>
      <c r="K380" s="3">
        <v>25</v>
      </c>
      <c r="L380" s="3">
        <f t="shared" si="11"/>
        <v>0.76624498064751145</v>
      </c>
    </row>
    <row r="381" spans="1:12" x14ac:dyDescent="0.3">
      <c r="A381" s="3">
        <v>380</v>
      </c>
      <c r="B381" s="4">
        <v>45052</v>
      </c>
      <c r="C381" s="9" t="str">
        <f t="shared" si="10"/>
        <v>May</v>
      </c>
      <c r="D381" s="3" t="s">
        <v>393</v>
      </c>
      <c r="E381" s="3" t="s">
        <v>10</v>
      </c>
      <c r="F381" s="3">
        <v>56</v>
      </c>
      <c r="G381" s="8" t="str" cm="1">
        <f t="array" ref="G381">_xlfn.IFS(
    F381 &lt; 25, "Young",
    F381 &lt;= 40, "Mid-Age",
    F381 &gt; 40, "Old-Age"
)</f>
        <v>Old-Age</v>
      </c>
      <c r="H381" s="3" t="s">
        <v>16</v>
      </c>
      <c r="I381" s="3">
        <v>2</v>
      </c>
      <c r="J381" s="3">
        <v>300</v>
      </c>
      <c r="K381" s="3">
        <v>600</v>
      </c>
      <c r="L381" s="3">
        <f t="shared" si="11"/>
        <v>0.76377798108783745</v>
      </c>
    </row>
    <row r="382" spans="1:12" x14ac:dyDescent="0.3">
      <c r="A382" s="3">
        <v>381</v>
      </c>
      <c r="B382" s="4">
        <v>45116</v>
      </c>
      <c r="C382" s="9" t="str">
        <f t="shared" si="10"/>
        <v>July</v>
      </c>
      <c r="D382" s="3" t="s">
        <v>394</v>
      </c>
      <c r="E382" s="3" t="s">
        <v>13</v>
      </c>
      <c r="F382" s="3">
        <v>44</v>
      </c>
      <c r="G382" s="8" t="str" cm="1">
        <f t="array" ref="G382">_xlfn.IFS(
    F382 &lt; 25, "Young",
    F382 &lt;= 40, "Mid-Age",
    F382 &gt; 40, "Old-Age"
)</f>
        <v>Old-Age</v>
      </c>
      <c r="H382" s="3" t="s">
        <v>14</v>
      </c>
      <c r="I382" s="3">
        <v>4</v>
      </c>
      <c r="J382" s="3">
        <v>25</v>
      </c>
      <c r="K382" s="3">
        <v>100</v>
      </c>
      <c r="L382" s="3">
        <f t="shared" si="11"/>
        <v>0.76669223992096169</v>
      </c>
    </row>
    <row r="383" spans="1:12" x14ac:dyDescent="0.3">
      <c r="A383" s="3">
        <v>382</v>
      </c>
      <c r="B383" s="4">
        <v>45072</v>
      </c>
      <c r="C383" s="9" t="str">
        <f t="shared" si="10"/>
        <v>May</v>
      </c>
      <c r="D383" s="3" t="s">
        <v>395</v>
      </c>
      <c r="E383" s="3" t="s">
        <v>13</v>
      </c>
      <c r="F383" s="3">
        <v>53</v>
      </c>
      <c r="G383" s="8" t="str" cm="1">
        <f t="array" ref="G383">_xlfn.IFS(
    F383 &lt; 25, "Young",
    F383 &lt;= 40, "Mid-Age",
    F383 &gt; 40, "Old-Age"
)</f>
        <v>Old-Age</v>
      </c>
      <c r="H383" s="3" t="s">
        <v>14</v>
      </c>
      <c r="I383" s="3">
        <v>2</v>
      </c>
      <c r="J383" s="3">
        <v>500</v>
      </c>
      <c r="K383" s="3">
        <v>1000</v>
      </c>
      <c r="L383" s="3">
        <f t="shared" si="11"/>
        <v>0.76421714368799309</v>
      </c>
    </row>
    <row r="384" spans="1:12" x14ac:dyDescent="0.3">
      <c r="A384" s="3">
        <v>383</v>
      </c>
      <c r="B384" s="4">
        <v>45007</v>
      </c>
      <c r="C384" s="9" t="str">
        <f t="shared" si="10"/>
        <v>March</v>
      </c>
      <c r="D384" s="3" t="s">
        <v>396</v>
      </c>
      <c r="E384" s="3" t="s">
        <v>13</v>
      </c>
      <c r="F384" s="3">
        <v>46</v>
      </c>
      <c r="G384" s="8" t="str" cm="1">
        <f t="array" ref="G384">_xlfn.IFS(
    F384 &lt; 25, "Young",
    F384 &lt;= 40, "Mid-Age",
    F384 &gt; 40, "Old-Age"
)</f>
        <v>Old-Age</v>
      </c>
      <c r="H384" s="3" t="s">
        <v>11</v>
      </c>
      <c r="I384" s="3">
        <v>3</v>
      </c>
      <c r="J384" s="3">
        <v>30</v>
      </c>
      <c r="K384" s="3">
        <v>90</v>
      </c>
      <c r="L384" s="3">
        <f t="shared" si="11"/>
        <v>0.76920485906906599</v>
      </c>
    </row>
    <row r="385" spans="1:12" x14ac:dyDescent="0.3">
      <c r="A385" s="3">
        <v>384</v>
      </c>
      <c r="B385" s="4">
        <v>45151</v>
      </c>
      <c r="C385" s="9" t="str">
        <f t="shared" si="10"/>
        <v>August</v>
      </c>
      <c r="D385" s="3" t="s">
        <v>397</v>
      </c>
      <c r="E385" s="3" t="s">
        <v>10</v>
      </c>
      <c r="F385" s="3">
        <v>55</v>
      </c>
      <c r="G385" s="8" t="str" cm="1">
        <f t="array" ref="G385">_xlfn.IFS(
    F385 &lt; 25, "Young",
    F385 &lt;= 40, "Mid-Age",
    F385 &gt; 40, "Old-Age"
)</f>
        <v>Old-Age</v>
      </c>
      <c r="H385" s="3" t="s">
        <v>14</v>
      </c>
      <c r="I385" s="3">
        <v>1</v>
      </c>
      <c r="J385" s="3">
        <v>500</v>
      </c>
      <c r="K385" s="3">
        <v>500</v>
      </c>
      <c r="L385" s="3">
        <f t="shared" si="11"/>
        <v>0.76669237157095316</v>
      </c>
    </row>
    <row r="386" spans="1:12" x14ac:dyDescent="0.3">
      <c r="A386" s="3">
        <v>385</v>
      </c>
      <c r="B386" s="4">
        <v>45205</v>
      </c>
      <c r="C386" s="9" t="str">
        <f t="shared" ref="C386:C449" si="12">TEXT(B386,"mmmm")</f>
        <v>October</v>
      </c>
      <c r="D386" s="3" t="s">
        <v>398</v>
      </c>
      <c r="E386" s="3" t="s">
        <v>10</v>
      </c>
      <c r="F386" s="3">
        <v>50</v>
      </c>
      <c r="G386" s="8" t="str" cm="1">
        <f t="array" ref="G386">_xlfn.IFS(
    F386 &lt; 25, "Young",
    F386 &lt;= 40, "Mid-Age",
    F386 &gt; 40, "Old-Age"
)</f>
        <v>Old-Age</v>
      </c>
      <c r="H386" s="3" t="s">
        <v>16</v>
      </c>
      <c r="I386" s="3">
        <v>3</v>
      </c>
      <c r="J386" s="3">
        <v>500</v>
      </c>
      <c r="K386" s="3">
        <v>1500</v>
      </c>
      <c r="L386" s="3">
        <f t="shared" ref="L386:L449" si="13">SKEW(J386:J1385)</f>
        <v>0.77170028007138947</v>
      </c>
    </row>
    <row r="387" spans="1:12" x14ac:dyDescent="0.3">
      <c r="A387" s="3">
        <v>386</v>
      </c>
      <c r="B387" s="4">
        <v>45287</v>
      </c>
      <c r="C387" s="9" t="str">
        <f t="shared" si="12"/>
        <v>December</v>
      </c>
      <c r="D387" s="3" t="s">
        <v>399</v>
      </c>
      <c r="E387" s="3" t="s">
        <v>13</v>
      </c>
      <c r="F387" s="3">
        <v>54</v>
      </c>
      <c r="G387" s="8" t="str" cm="1">
        <f t="array" ref="G387">_xlfn.IFS(
    F387 &lt; 25, "Young",
    F387 &lt;= 40, "Mid-Age",
    F387 &gt; 40, "Old-Age"
)</f>
        <v>Old-Age</v>
      </c>
      <c r="H387" s="3" t="s">
        <v>16</v>
      </c>
      <c r="I387" s="3">
        <v>2</v>
      </c>
      <c r="J387" s="3">
        <v>300</v>
      </c>
      <c r="K387" s="3">
        <v>600</v>
      </c>
      <c r="L387" s="3">
        <f t="shared" si="13"/>
        <v>0.77673074165071054</v>
      </c>
    </row>
    <row r="388" spans="1:12" x14ac:dyDescent="0.3">
      <c r="A388" s="3">
        <v>387</v>
      </c>
      <c r="B388" s="4">
        <v>45081</v>
      </c>
      <c r="C388" s="9" t="str">
        <f t="shared" si="12"/>
        <v>June</v>
      </c>
      <c r="D388" s="3" t="s">
        <v>400</v>
      </c>
      <c r="E388" s="3" t="s">
        <v>10</v>
      </c>
      <c r="F388" s="3">
        <v>44</v>
      </c>
      <c r="G388" s="8" t="str" cm="1">
        <f t="array" ref="G388">_xlfn.IFS(
    F388 &lt; 25, "Young",
    F388 &lt;= 40, "Mid-Age",
    F388 &gt; 40, "Old-Age"
)</f>
        <v>Old-Age</v>
      </c>
      <c r="H388" s="3" t="s">
        <v>11</v>
      </c>
      <c r="I388" s="3">
        <v>1</v>
      </c>
      <c r="J388" s="3">
        <v>30</v>
      </c>
      <c r="K388" s="3">
        <v>30</v>
      </c>
      <c r="L388" s="3">
        <f t="shared" si="13"/>
        <v>0.77972629587835762</v>
      </c>
    </row>
    <row r="389" spans="1:12" x14ac:dyDescent="0.3">
      <c r="A389" s="3">
        <v>388</v>
      </c>
      <c r="B389" s="4">
        <v>45240</v>
      </c>
      <c r="C389" s="9" t="str">
        <f t="shared" si="12"/>
        <v>November</v>
      </c>
      <c r="D389" s="3" t="s">
        <v>401</v>
      </c>
      <c r="E389" s="3" t="s">
        <v>10</v>
      </c>
      <c r="F389" s="3">
        <v>50</v>
      </c>
      <c r="G389" s="8" t="str" cm="1">
        <f t="array" ref="G389">_xlfn.IFS(
    F389 &lt; 25, "Young",
    F389 &lt;= 40, "Mid-Age",
    F389 &gt; 40, "Old-Age"
)</f>
        <v>Old-Age</v>
      </c>
      <c r="H389" s="3" t="s">
        <v>16</v>
      </c>
      <c r="I389" s="3">
        <v>1</v>
      </c>
      <c r="J389" s="3">
        <v>25</v>
      </c>
      <c r="K389" s="3">
        <v>25</v>
      </c>
      <c r="L389" s="3">
        <f t="shared" si="13"/>
        <v>0.77720088968851875</v>
      </c>
    </row>
    <row r="390" spans="1:12" x14ac:dyDescent="0.3">
      <c r="A390" s="3">
        <v>389</v>
      </c>
      <c r="B390" s="4">
        <v>45261</v>
      </c>
      <c r="C390" s="9" t="str">
        <f t="shared" si="12"/>
        <v>December</v>
      </c>
      <c r="D390" s="3" t="s">
        <v>402</v>
      </c>
      <c r="E390" s="3" t="s">
        <v>10</v>
      </c>
      <c r="F390" s="3">
        <v>21</v>
      </c>
      <c r="G390" s="8" t="str" cm="1">
        <f t="array" ref="G390">_xlfn.IFS(
    F390 &lt; 25, "Young",
    F390 &lt;= 40, "Mid-Age",
    F390 &gt; 40, "Old-Age"
)</f>
        <v>Young</v>
      </c>
      <c r="H390" s="3" t="s">
        <v>14</v>
      </c>
      <c r="I390" s="3">
        <v>2</v>
      </c>
      <c r="J390" s="3">
        <v>25</v>
      </c>
      <c r="K390" s="3">
        <v>50</v>
      </c>
      <c r="L390" s="3">
        <f t="shared" si="13"/>
        <v>0.77470182700483059</v>
      </c>
    </row>
    <row r="391" spans="1:12" x14ac:dyDescent="0.3">
      <c r="A391" s="3">
        <v>390</v>
      </c>
      <c r="B391" s="4">
        <v>45197</v>
      </c>
      <c r="C391" s="9" t="str">
        <f t="shared" si="12"/>
        <v>September</v>
      </c>
      <c r="D391" s="3" t="s">
        <v>403</v>
      </c>
      <c r="E391" s="3" t="s">
        <v>10</v>
      </c>
      <c r="F391" s="3">
        <v>39</v>
      </c>
      <c r="G391" s="8" t="str" cm="1">
        <f t="array" ref="G391">_xlfn.IFS(
    F391 &lt; 25, "Young",
    F391 &lt;= 40, "Mid-Age",
    F391 &gt; 40, "Old-Age"
)</f>
        <v>Mid-Age</v>
      </c>
      <c r="H391" s="3" t="s">
        <v>16</v>
      </c>
      <c r="I391" s="3">
        <v>2</v>
      </c>
      <c r="J391" s="3">
        <v>50</v>
      </c>
      <c r="K391" s="3">
        <v>100</v>
      </c>
      <c r="L391" s="3">
        <f t="shared" si="13"/>
        <v>0.77219816597775603</v>
      </c>
    </row>
    <row r="392" spans="1:12" x14ac:dyDescent="0.3">
      <c r="A392" s="3">
        <v>391</v>
      </c>
      <c r="B392" s="4">
        <v>44931</v>
      </c>
      <c r="C392" s="9" t="str">
        <f t="shared" si="12"/>
        <v>January</v>
      </c>
      <c r="D392" s="3" t="s">
        <v>404</v>
      </c>
      <c r="E392" s="3" t="s">
        <v>10</v>
      </c>
      <c r="F392" s="3">
        <v>19</v>
      </c>
      <c r="G392" s="8" t="str" cm="1">
        <f t="array" ref="G392">_xlfn.IFS(
    F392 &lt; 25, "Young",
    F392 &lt;= 40, "Mid-Age",
    F392 &gt; 40, "Old-Age"
)</f>
        <v>Young</v>
      </c>
      <c r="H392" s="3" t="s">
        <v>11</v>
      </c>
      <c r="I392" s="3">
        <v>2</v>
      </c>
      <c r="J392" s="3">
        <v>25</v>
      </c>
      <c r="K392" s="3">
        <v>50</v>
      </c>
      <c r="L392" s="3">
        <f t="shared" si="13"/>
        <v>0.76961314088862365</v>
      </c>
    </row>
    <row r="393" spans="1:12" x14ac:dyDescent="0.3">
      <c r="A393" s="3">
        <v>392</v>
      </c>
      <c r="B393" s="4">
        <v>45268</v>
      </c>
      <c r="C393" s="9" t="str">
        <f t="shared" si="12"/>
        <v>December</v>
      </c>
      <c r="D393" s="3" t="s">
        <v>405</v>
      </c>
      <c r="E393" s="3" t="s">
        <v>10</v>
      </c>
      <c r="F393" s="3">
        <v>27</v>
      </c>
      <c r="G393" s="8" t="str" cm="1">
        <f t="array" ref="G393">_xlfn.IFS(
    F393 &lt; 25, "Young",
    F393 &lt;= 40, "Mid-Age",
    F393 &gt; 40, "Old-Age"
)</f>
        <v>Mid-Age</v>
      </c>
      <c r="H393" s="3" t="s">
        <v>14</v>
      </c>
      <c r="I393" s="3">
        <v>2</v>
      </c>
      <c r="J393" s="3">
        <v>300</v>
      </c>
      <c r="K393" s="3">
        <v>600</v>
      </c>
      <c r="L393" s="3">
        <f t="shared" si="13"/>
        <v>0.76709969507106779</v>
      </c>
    </row>
    <row r="394" spans="1:12" x14ac:dyDescent="0.3">
      <c r="A394" s="3">
        <v>393</v>
      </c>
      <c r="B394" s="4">
        <v>45210</v>
      </c>
      <c r="C394" s="9" t="str">
        <f t="shared" si="12"/>
        <v>October</v>
      </c>
      <c r="D394" s="3" t="s">
        <v>406</v>
      </c>
      <c r="E394" s="3" t="s">
        <v>13</v>
      </c>
      <c r="F394" s="3">
        <v>22</v>
      </c>
      <c r="G394" s="8" t="str" cm="1">
        <f t="array" ref="G394">_xlfn.IFS(
    F394 &lt; 25, "Young",
    F394 &lt;= 40, "Mid-Age",
    F394 &gt; 40, "Old-Age"
)</f>
        <v>Young</v>
      </c>
      <c r="H394" s="3" t="s">
        <v>11</v>
      </c>
      <c r="I394" s="3">
        <v>2</v>
      </c>
      <c r="J394" s="3">
        <v>500</v>
      </c>
      <c r="K394" s="3">
        <v>1000</v>
      </c>
      <c r="L394" s="3">
        <f t="shared" si="13"/>
        <v>0.77008722491683945</v>
      </c>
    </row>
    <row r="395" spans="1:12" x14ac:dyDescent="0.3">
      <c r="A395" s="3">
        <v>394</v>
      </c>
      <c r="B395" s="4">
        <v>45080</v>
      </c>
      <c r="C395" s="9" t="str">
        <f t="shared" si="12"/>
        <v>June</v>
      </c>
      <c r="D395" s="3" t="s">
        <v>407</v>
      </c>
      <c r="E395" s="3" t="s">
        <v>13</v>
      </c>
      <c r="F395" s="3">
        <v>27</v>
      </c>
      <c r="G395" s="8" t="str" cm="1">
        <f t="array" ref="G395">_xlfn.IFS(
    F395 &lt; 25, "Young",
    F395 &lt;= 40, "Mid-Age",
    F395 &gt; 40, "Old-Age"
)</f>
        <v>Mid-Age</v>
      </c>
      <c r="H395" s="3" t="s">
        <v>14</v>
      </c>
      <c r="I395" s="3">
        <v>1</v>
      </c>
      <c r="J395" s="3">
        <v>500</v>
      </c>
      <c r="K395" s="3">
        <v>500</v>
      </c>
      <c r="L395" s="3">
        <f t="shared" si="13"/>
        <v>0.77518308912611866</v>
      </c>
    </row>
    <row r="396" spans="1:12" x14ac:dyDescent="0.3">
      <c r="A396" s="3">
        <v>395</v>
      </c>
      <c r="B396" s="4">
        <v>45266</v>
      </c>
      <c r="C396" s="9" t="str">
        <f t="shared" si="12"/>
        <v>December</v>
      </c>
      <c r="D396" s="3" t="s">
        <v>408</v>
      </c>
      <c r="E396" s="3" t="s">
        <v>10</v>
      </c>
      <c r="F396" s="3">
        <v>50</v>
      </c>
      <c r="G396" s="8" t="str" cm="1">
        <f t="array" ref="G396">_xlfn.IFS(
    F396 &lt; 25, "Young",
    F396 &lt;= 40, "Mid-Age",
    F396 &gt; 40, "Old-Age"
)</f>
        <v>Old-Age</v>
      </c>
      <c r="H396" s="3" t="s">
        <v>16</v>
      </c>
      <c r="I396" s="3">
        <v>2</v>
      </c>
      <c r="J396" s="3">
        <v>500</v>
      </c>
      <c r="K396" s="3">
        <v>1000</v>
      </c>
      <c r="L396" s="3">
        <f t="shared" si="13"/>
        <v>0.78030229893981018</v>
      </c>
    </row>
    <row r="397" spans="1:12" x14ac:dyDescent="0.3">
      <c r="A397" s="3">
        <v>396</v>
      </c>
      <c r="B397" s="4">
        <v>44980</v>
      </c>
      <c r="C397" s="9" t="str">
        <f t="shared" si="12"/>
        <v>February</v>
      </c>
      <c r="D397" s="3" t="s">
        <v>409</v>
      </c>
      <c r="E397" s="3" t="s">
        <v>13</v>
      </c>
      <c r="F397" s="3">
        <v>55</v>
      </c>
      <c r="G397" s="8" t="str" cm="1">
        <f t="array" ref="G397">_xlfn.IFS(
    F397 &lt; 25, "Young",
    F397 &lt;= 40, "Mid-Age",
    F397 &gt; 40, "Old-Age"
)</f>
        <v>Old-Age</v>
      </c>
      <c r="H397" s="3" t="s">
        <v>11</v>
      </c>
      <c r="I397" s="3">
        <v>1</v>
      </c>
      <c r="J397" s="3">
        <v>30</v>
      </c>
      <c r="K397" s="3">
        <v>30</v>
      </c>
      <c r="L397" s="3">
        <f t="shared" si="13"/>
        <v>0.78544496144384435</v>
      </c>
    </row>
    <row r="398" spans="1:12" x14ac:dyDescent="0.3">
      <c r="A398" s="3">
        <v>397</v>
      </c>
      <c r="B398" s="4">
        <v>44995</v>
      </c>
      <c r="C398" s="9" t="str">
        <f t="shared" si="12"/>
        <v>March</v>
      </c>
      <c r="D398" s="3" t="s">
        <v>410</v>
      </c>
      <c r="E398" s="3" t="s">
        <v>13</v>
      </c>
      <c r="F398" s="3">
        <v>30</v>
      </c>
      <c r="G398" s="8" t="str" cm="1">
        <f t="array" ref="G398">_xlfn.IFS(
    F398 &lt; 25, "Young",
    F398 &lt;= 40, "Mid-Age",
    F398 &gt; 40, "Old-Age"
)</f>
        <v>Mid-Age</v>
      </c>
      <c r="H398" s="3" t="s">
        <v>11</v>
      </c>
      <c r="I398" s="3">
        <v>1</v>
      </c>
      <c r="J398" s="3">
        <v>25</v>
      </c>
      <c r="K398" s="3">
        <v>25</v>
      </c>
      <c r="L398" s="3">
        <f t="shared" si="13"/>
        <v>0.7828845693226697</v>
      </c>
    </row>
    <row r="399" spans="1:12" x14ac:dyDescent="0.3">
      <c r="A399" s="3">
        <v>398</v>
      </c>
      <c r="B399" s="4">
        <v>45062</v>
      </c>
      <c r="C399" s="9" t="str">
        <f t="shared" si="12"/>
        <v>May</v>
      </c>
      <c r="D399" s="3" t="s">
        <v>411</v>
      </c>
      <c r="E399" s="3" t="s">
        <v>13</v>
      </c>
      <c r="F399" s="3">
        <v>48</v>
      </c>
      <c r="G399" s="8" t="str" cm="1">
        <f t="array" ref="G399">_xlfn.IFS(
    F399 &lt; 25, "Young",
    F399 &lt;= 40, "Mid-Age",
    F399 &gt; 40, "Old-Age"
)</f>
        <v>Old-Age</v>
      </c>
      <c r="H399" s="3" t="s">
        <v>14</v>
      </c>
      <c r="I399" s="3">
        <v>2</v>
      </c>
      <c r="J399" s="3">
        <v>300</v>
      </c>
      <c r="K399" s="3">
        <v>600</v>
      </c>
      <c r="L399" s="3">
        <f t="shared" si="13"/>
        <v>0.78035121749095071</v>
      </c>
    </row>
    <row r="400" spans="1:12" x14ac:dyDescent="0.3">
      <c r="A400" s="3">
        <v>399</v>
      </c>
      <c r="B400" s="4">
        <v>44986</v>
      </c>
      <c r="C400" s="9" t="str">
        <f t="shared" si="12"/>
        <v>March</v>
      </c>
      <c r="D400" s="3" t="s">
        <v>412</v>
      </c>
      <c r="E400" s="3" t="s">
        <v>13</v>
      </c>
      <c r="F400" s="3">
        <v>64</v>
      </c>
      <c r="G400" s="8" t="str" cm="1">
        <f t="array" ref="G400">_xlfn.IFS(
    F400 &lt; 25, "Young",
    F400 &lt;= 40, "Mid-Age",
    F400 &gt; 40, "Old-Age"
)</f>
        <v>Old-Age</v>
      </c>
      <c r="H400" s="3" t="s">
        <v>11</v>
      </c>
      <c r="I400" s="3">
        <v>2</v>
      </c>
      <c r="J400" s="3">
        <v>30</v>
      </c>
      <c r="K400" s="3">
        <v>60</v>
      </c>
      <c r="L400" s="3">
        <f t="shared" si="13"/>
        <v>0.7834240110359374</v>
      </c>
    </row>
    <row r="401" spans="1:12" x14ac:dyDescent="0.3">
      <c r="A401" s="3">
        <v>400</v>
      </c>
      <c r="B401" s="4">
        <v>44981</v>
      </c>
      <c r="C401" s="9" t="str">
        <f t="shared" si="12"/>
        <v>February</v>
      </c>
      <c r="D401" s="3" t="s">
        <v>413</v>
      </c>
      <c r="E401" s="3" t="s">
        <v>10</v>
      </c>
      <c r="F401" s="3">
        <v>53</v>
      </c>
      <c r="G401" s="8" t="str" cm="1">
        <f t="array" ref="G401">_xlfn.IFS(
    F401 &lt; 25, "Young",
    F401 &lt;= 40, "Mid-Age",
    F401 &gt; 40, "Old-Age"
)</f>
        <v>Old-Age</v>
      </c>
      <c r="H401" s="3" t="s">
        <v>14</v>
      </c>
      <c r="I401" s="3">
        <v>4</v>
      </c>
      <c r="J401" s="3">
        <v>50</v>
      </c>
      <c r="K401" s="3">
        <v>200</v>
      </c>
      <c r="L401" s="3">
        <f t="shared" si="13"/>
        <v>0.78085015111188183</v>
      </c>
    </row>
    <row r="402" spans="1:12" x14ac:dyDescent="0.3">
      <c r="A402" s="3">
        <v>401</v>
      </c>
      <c r="B402" s="4">
        <v>45210</v>
      </c>
      <c r="C402" s="9" t="str">
        <f t="shared" si="12"/>
        <v>October</v>
      </c>
      <c r="D402" s="3" t="s">
        <v>414</v>
      </c>
      <c r="E402" s="3" t="s">
        <v>13</v>
      </c>
      <c r="F402" s="3">
        <v>62</v>
      </c>
      <c r="G402" s="8" t="str" cm="1">
        <f t="array" ref="G402">_xlfn.IFS(
    F402 &lt; 25, "Young",
    F402 &lt;= 40, "Mid-Age",
    F402 &gt; 40, "Old-Age"
)</f>
        <v>Old-Age</v>
      </c>
      <c r="H402" s="3" t="s">
        <v>14</v>
      </c>
      <c r="I402" s="3">
        <v>1</v>
      </c>
      <c r="J402" s="3">
        <v>300</v>
      </c>
      <c r="K402" s="3">
        <v>300</v>
      </c>
      <c r="L402" s="3">
        <f t="shared" si="13"/>
        <v>0.77822501396221744</v>
      </c>
    </row>
    <row r="403" spans="1:12" x14ac:dyDescent="0.3">
      <c r="A403" s="3">
        <v>402</v>
      </c>
      <c r="B403" s="4">
        <v>45006</v>
      </c>
      <c r="C403" s="9" t="str">
        <f t="shared" si="12"/>
        <v>March</v>
      </c>
      <c r="D403" s="3" t="s">
        <v>415</v>
      </c>
      <c r="E403" s="3" t="s">
        <v>13</v>
      </c>
      <c r="F403" s="3">
        <v>41</v>
      </c>
      <c r="G403" s="8" t="str" cm="1">
        <f t="array" ref="G403">_xlfn.IFS(
    F403 &lt; 25, "Young",
    F403 &lt;= 40, "Mid-Age",
    F403 &gt; 40, "Old-Age"
)</f>
        <v>Old-Age</v>
      </c>
      <c r="H403" s="3" t="s">
        <v>14</v>
      </c>
      <c r="I403" s="3">
        <v>2</v>
      </c>
      <c r="J403" s="3">
        <v>300</v>
      </c>
      <c r="K403" s="3">
        <v>600</v>
      </c>
      <c r="L403" s="3">
        <f t="shared" si="13"/>
        <v>0.78130116204173039</v>
      </c>
    </row>
    <row r="404" spans="1:12" x14ac:dyDescent="0.3">
      <c r="A404" s="3">
        <v>403</v>
      </c>
      <c r="B404" s="4">
        <v>45066</v>
      </c>
      <c r="C404" s="9" t="str">
        <f t="shared" si="12"/>
        <v>May</v>
      </c>
      <c r="D404" s="3" t="s">
        <v>416</v>
      </c>
      <c r="E404" s="3" t="s">
        <v>10</v>
      </c>
      <c r="F404" s="3">
        <v>32</v>
      </c>
      <c r="G404" s="8" t="str" cm="1">
        <f t="array" ref="G404">_xlfn.IFS(
    F404 &lt; 25, "Young",
    F404 &lt;= 40, "Mid-Age",
    F404 &gt; 40, "Old-Age"
)</f>
        <v>Mid-Age</v>
      </c>
      <c r="H404" s="3" t="s">
        <v>14</v>
      </c>
      <c r="I404" s="3">
        <v>2</v>
      </c>
      <c r="J404" s="3">
        <v>300</v>
      </c>
      <c r="K404" s="3">
        <v>600</v>
      </c>
      <c r="L404" s="3">
        <f t="shared" si="13"/>
        <v>0.78438771305728261</v>
      </c>
    </row>
    <row r="405" spans="1:12" x14ac:dyDescent="0.3">
      <c r="A405" s="3">
        <v>404</v>
      </c>
      <c r="B405" s="4">
        <v>45071</v>
      </c>
      <c r="C405" s="9" t="str">
        <f t="shared" si="12"/>
        <v>May</v>
      </c>
      <c r="D405" s="3" t="s">
        <v>417</v>
      </c>
      <c r="E405" s="3" t="s">
        <v>10</v>
      </c>
      <c r="F405" s="3">
        <v>46</v>
      </c>
      <c r="G405" s="8" t="str" cm="1">
        <f t="array" ref="G405">_xlfn.IFS(
    F405 &lt; 25, "Young",
    F405 &lt;= 40, "Mid-Age",
    F405 &gt; 40, "Old-Age"
)</f>
        <v>Old-Age</v>
      </c>
      <c r="H405" s="3" t="s">
        <v>16</v>
      </c>
      <c r="I405" s="3">
        <v>2</v>
      </c>
      <c r="J405" s="3">
        <v>500</v>
      </c>
      <c r="K405" s="3">
        <v>1000</v>
      </c>
      <c r="L405" s="3">
        <f t="shared" si="13"/>
        <v>0.78748473578234424</v>
      </c>
    </row>
    <row r="406" spans="1:12" x14ac:dyDescent="0.3">
      <c r="A406" s="3">
        <v>405</v>
      </c>
      <c r="B406" s="4">
        <v>45236</v>
      </c>
      <c r="C406" s="9" t="str">
        <f t="shared" si="12"/>
        <v>November</v>
      </c>
      <c r="D406" s="3" t="s">
        <v>418</v>
      </c>
      <c r="E406" s="3" t="s">
        <v>13</v>
      </c>
      <c r="F406" s="3">
        <v>25</v>
      </c>
      <c r="G406" s="8" t="str" cm="1">
        <f t="array" ref="G406">_xlfn.IFS(
    F406 &lt; 25, "Young",
    F406 &lt;= 40, "Mid-Age",
    F406 &gt; 40, "Old-Age"
)</f>
        <v>Mid-Age</v>
      </c>
      <c r="H406" s="3" t="s">
        <v>14</v>
      </c>
      <c r="I406" s="3">
        <v>4</v>
      </c>
      <c r="J406" s="3">
        <v>300</v>
      </c>
      <c r="K406" s="3">
        <v>1200</v>
      </c>
      <c r="L406" s="3">
        <f t="shared" si="13"/>
        <v>0.79275553398090004</v>
      </c>
    </row>
    <row r="407" spans="1:12" x14ac:dyDescent="0.3">
      <c r="A407" s="3">
        <v>406</v>
      </c>
      <c r="B407" s="4">
        <v>45034</v>
      </c>
      <c r="C407" s="9" t="str">
        <f t="shared" si="12"/>
        <v>April</v>
      </c>
      <c r="D407" s="3" t="s">
        <v>419</v>
      </c>
      <c r="E407" s="3" t="s">
        <v>13</v>
      </c>
      <c r="F407" s="3">
        <v>22</v>
      </c>
      <c r="G407" s="8" t="str" cm="1">
        <f t="array" ref="G407">_xlfn.IFS(
    F407 &lt; 25, "Young",
    F407 &lt;= 40, "Mid-Age",
    F407 &gt; 40, "Old-Age"
)</f>
        <v>Young</v>
      </c>
      <c r="H407" s="3" t="s">
        <v>11</v>
      </c>
      <c r="I407" s="3">
        <v>4</v>
      </c>
      <c r="J407" s="3">
        <v>25</v>
      </c>
      <c r="K407" s="3">
        <v>100</v>
      </c>
      <c r="L407" s="3">
        <f t="shared" si="13"/>
        <v>0.79589211192305975</v>
      </c>
    </row>
    <row r="408" spans="1:12" x14ac:dyDescent="0.3">
      <c r="A408" s="3">
        <v>407</v>
      </c>
      <c r="B408" s="4">
        <v>45102</v>
      </c>
      <c r="C408" s="9" t="str">
        <f t="shared" si="12"/>
        <v>June</v>
      </c>
      <c r="D408" s="3" t="s">
        <v>420</v>
      </c>
      <c r="E408" s="3" t="s">
        <v>13</v>
      </c>
      <c r="F408" s="3">
        <v>46</v>
      </c>
      <c r="G408" s="8" t="str" cm="1">
        <f t="array" ref="G408">_xlfn.IFS(
    F408 &lt; 25, "Young",
    F408 &lt;= 40, "Mid-Age",
    F408 &gt; 40, "Old-Age"
)</f>
        <v>Old-Age</v>
      </c>
      <c r="H408" s="3" t="s">
        <v>16</v>
      </c>
      <c r="I408" s="3">
        <v>3</v>
      </c>
      <c r="J408" s="3">
        <v>300</v>
      </c>
      <c r="K408" s="3">
        <v>900</v>
      </c>
      <c r="L408" s="3">
        <f t="shared" si="13"/>
        <v>0.79332210354471344</v>
      </c>
    </row>
    <row r="409" spans="1:12" x14ac:dyDescent="0.3">
      <c r="A409" s="3">
        <v>408</v>
      </c>
      <c r="B409" s="4">
        <v>45031</v>
      </c>
      <c r="C409" s="9" t="str">
        <f t="shared" si="12"/>
        <v>April</v>
      </c>
      <c r="D409" s="3" t="s">
        <v>421</v>
      </c>
      <c r="E409" s="3" t="s">
        <v>13</v>
      </c>
      <c r="F409" s="3">
        <v>64</v>
      </c>
      <c r="G409" s="8" t="str" cm="1">
        <f t="array" ref="G409">_xlfn.IFS(
    F409 &lt; 25, "Young",
    F409 &lt;= 40, "Mid-Age",
    F409 &gt; 40, "Old-Age"
)</f>
        <v>Old-Age</v>
      </c>
      <c r="H409" s="3" t="s">
        <v>11</v>
      </c>
      <c r="I409" s="3">
        <v>1</v>
      </c>
      <c r="J409" s="3">
        <v>500</v>
      </c>
      <c r="K409" s="3">
        <v>500</v>
      </c>
      <c r="L409" s="3">
        <f t="shared" si="13"/>
        <v>0.79646550973512908</v>
      </c>
    </row>
    <row r="410" spans="1:12" x14ac:dyDescent="0.3">
      <c r="A410" s="3">
        <v>409</v>
      </c>
      <c r="B410" s="4">
        <v>45278</v>
      </c>
      <c r="C410" s="9" t="str">
        <f t="shared" si="12"/>
        <v>December</v>
      </c>
      <c r="D410" s="3" t="s">
        <v>422</v>
      </c>
      <c r="E410" s="3" t="s">
        <v>13</v>
      </c>
      <c r="F410" s="3">
        <v>21</v>
      </c>
      <c r="G410" s="8" t="str" cm="1">
        <f t="array" ref="G410">_xlfn.IFS(
    F410 &lt; 25, "Young",
    F410 &lt;= 40, "Mid-Age",
    F410 &gt; 40, "Old-Age"
)</f>
        <v>Young</v>
      </c>
      <c r="H410" s="3" t="s">
        <v>16</v>
      </c>
      <c r="I410" s="3">
        <v>3</v>
      </c>
      <c r="J410" s="3">
        <v>300</v>
      </c>
      <c r="K410" s="3">
        <v>900</v>
      </c>
      <c r="L410" s="3">
        <f t="shared" si="13"/>
        <v>0.80181801301535516</v>
      </c>
    </row>
    <row r="411" spans="1:12" x14ac:dyDescent="0.3">
      <c r="A411" s="3">
        <v>410</v>
      </c>
      <c r="B411" s="4">
        <v>45251</v>
      </c>
      <c r="C411" s="9" t="str">
        <f t="shared" si="12"/>
        <v>November</v>
      </c>
      <c r="D411" s="3" t="s">
        <v>423</v>
      </c>
      <c r="E411" s="3" t="s">
        <v>13</v>
      </c>
      <c r="F411" s="3">
        <v>29</v>
      </c>
      <c r="G411" s="8" t="str" cm="1">
        <f t="array" ref="G411">_xlfn.IFS(
    F411 &lt; 25, "Young",
    F411 &lt;= 40, "Mid-Age",
    F411 &gt; 40, "Old-Age"
)</f>
        <v>Mid-Age</v>
      </c>
      <c r="H411" s="3" t="s">
        <v>14</v>
      </c>
      <c r="I411" s="3">
        <v>2</v>
      </c>
      <c r="J411" s="3">
        <v>50</v>
      </c>
      <c r="K411" s="3">
        <v>100</v>
      </c>
      <c r="L411" s="3">
        <f t="shared" si="13"/>
        <v>0.80500201627260282</v>
      </c>
    </row>
    <row r="412" spans="1:12" x14ac:dyDescent="0.3">
      <c r="A412" s="3">
        <v>411</v>
      </c>
      <c r="B412" s="4">
        <v>45062</v>
      </c>
      <c r="C412" s="9" t="str">
        <f t="shared" si="12"/>
        <v>May</v>
      </c>
      <c r="D412" s="3" t="s">
        <v>424</v>
      </c>
      <c r="E412" s="3" t="s">
        <v>10</v>
      </c>
      <c r="F412" s="3">
        <v>62</v>
      </c>
      <c r="G412" s="8" t="str" cm="1">
        <f t="array" ref="G412">_xlfn.IFS(
    F412 &lt; 25, "Young",
    F412 &lt;= 40, "Mid-Age",
    F412 &gt; 40, "Old-Age"
)</f>
        <v>Old-Age</v>
      </c>
      <c r="H412" s="3" t="s">
        <v>16</v>
      </c>
      <c r="I412" s="3">
        <v>4</v>
      </c>
      <c r="J412" s="3">
        <v>50</v>
      </c>
      <c r="K412" s="3">
        <v>200</v>
      </c>
      <c r="L412" s="3">
        <f t="shared" si="13"/>
        <v>0.80234086005775129</v>
      </c>
    </row>
    <row r="413" spans="1:12" x14ac:dyDescent="0.3">
      <c r="A413" s="3">
        <v>412</v>
      </c>
      <c r="B413" s="4">
        <v>45185</v>
      </c>
      <c r="C413" s="9" t="str">
        <f t="shared" si="12"/>
        <v>September</v>
      </c>
      <c r="D413" s="3" t="s">
        <v>425</v>
      </c>
      <c r="E413" s="3" t="s">
        <v>13</v>
      </c>
      <c r="F413" s="3">
        <v>19</v>
      </c>
      <c r="G413" s="8" t="str" cm="1">
        <f t="array" ref="G413">_xlfn.IFS(
    F413 &lt; 25, "Young",
    F413 &lt;= 40, "Mid-Age",
    F413 &gt; 40, "Old-Age"
)</f>
        <v>Young</v>
      </c>
      <c r="H413" s="3" t="s">
        <v>16</v>
      </c>
      <c r="I413" s="3">
        <v>4</v>
      </c>
      <c r="J413" s="3">
        <v>500</v>
      </c>
      <c r="K413" s="3">
        <v>2000</v>
      </c>
      <c r="L413" s="3">
        <f t="shared" si="13"/>
        <v>0.7996743301710395</v>
      </c>
    </row>
    <row r="414" spans="1:12" x14ac:dyDescent="0.3">
      <c r="A414" s="3">
        <v>413</v>
      </c>
      <c r="B414" s="4">
        <v>45177</v>
      </c>
      <c r="C414" s="9" t="str">
        <f t="shared" si="12"/>
        <v>September</v>
      </c>
      <c r="D414" s="3" t="s">
        <v>426</v>
      </c>
      <c r="E414" s="3" t="s">
        <v>13</v>
      </c>
      <c r="F414" s="3">
        <v>44</v>
      </c>
      <c r="G414" s="8" t="str" cm="1">
        <f t="array" ref="G414">_xlfn.IFS(
    F414 &lt; 25, "Young",
    F414 &lt;= 40, "Mid-Age",
    F414 &gt; 40, "Old-Age"
)</f>
        <v>Old-Age</v>
      </c>
      <c r="H414" s="3" t="s">
        <v>11</v>
      </c>
      <c r="I414" s="3">
        <v>3</v>
      </c>
      <c r="J414" s="3">
        <v>25</v>
      </c>
      <c r="K414" s="3">
        <v>75</v>
      </c>
      <c r="L414" s="3">
        <f t="shared" si="13"/>
        <v>0.80507747412962238</v>
      </c>
    </row>
    <row r="415" spans="1:12" x14ac:dyDescent="0.3">
      <c r="A415" s="3">
        <v>414</v>
      </c>
      <c r="B415" s="4">
        <v>45055</v>
      </c>
      <c r="C415" s="9" t="str">
        <f t="shared" si="12"/>
        <v>May</v>
      </c>
      <c r="D415" s="3" t="s">
        <v>427</v>
      </c>
      <c r="E415" s="3" t="s">
        <v>10</v>
      </c>
      <c r="F415" s="3">
        <v>48</v>
      </c>
      <c r="G415" s="8" t="str" cm="1">
        <f t="array" ref="G415">_xlfn.IFS(
    F415 &lt; 25, "Young",
    F415 &lt;= 40, "Mid-Age",
    F415 &gt; 40, "Old-Age"
)</f>
        <v>Old-Age</v>
      </c>
      <c r="H415" s="3" t="s">
        <v>11</v>
      </c>
      <c r="I415" s="3">
        <v>4</v>
      </c>
      <c r="J415" s="3">
        <v>25</v>
      </c>
      <c r="K415" s="3">
        <v>100</v>
      </c>
      <c r="L415" s="3">
        <f t="shared" si="13"/>
        <v>0.8024789342795402</v>
      </c>
    </row>
    <row r="416" spans="1:12" x14ac:dyDescent="0.3">
      <c r="A416" s="3">
        <v>415</v>
      </c>
      <c r="B416" s="4">
        <v>44953</v>
      </c>
      <c r="C416" s="9" t="str">
        <f t="shared" si="12"/>
        <v>January</v>
      </c>
      <c r="D416" s="3" t="s">
        <v>428</v>
      </c>
      <c r="E416" s="3" t="s">
        <v>10</v>
      </c>
      <c r="F416" s="3">
        <v>53</v>
      </c>
      <c r="G416" s="8" t="str" cm="1">
        <f t="array" ref="G416">_xlfn.IFS(
    F416 &lt; 25, "Young",
    F416 &lt;= 40, "Mid-Age",
    F416 &gt; 40, "Old-Age"
)</f>
        <v>Old-Age</v>
      </c>
      <c r="H416" s="3" t="s">
        <v>14</v>
      </c>
      <c r="I416" s="3">
        <v>2</v>
      </c>
      <c r="J416" s="3">
        <v>30</v>
      </c>
      <c r="K416" s="3">
        <v>60</v>
      </c>
      <c r="L416" s="3">
        <f t="shared" si="13"/>
        <v>0.79987547038372087</v>
      </c>
    </row>
    <row r="417" spans="1:12" x14ac:dyDescent="0.3">
      <c r="A417" s="3">
        <v>416</v>
      </c>
      <c r="B417" s="4">
        <v>44974</v>
      </c>
      <c r="C417" s="9" t="str">
        <f t="shared" si="12"/>
        <v>February</v>
      </c>
      <c r="D417" s="3" t="s">
        <v>429</v>
      </c>
      <c r="E417" s="3" t="s">
        <v>10</v>
      </c>
      <c r="F417" s="3">
        <v>53</v>
      </c>
      <c r="G417" s="8" t="str" cm="1">
        <f t="array" ref="G417">_xlfn.IFS(
    F417 &lt; 25, "Young",
    F417 &lt;= 40, "Mid-Age",
    F417 &gt; 40, "Old-Age"
)</f>
        <v>Old-Age</v>
      </c>
      <c r="H417" s="3" t="s">
        <v>16</v>
      </c>
      <c r="I417" s="3">
        <v>4</v>
      </c>
      <c r="J417" s="3">
        <v>500</v>
      </c>
      <c r="K417" s="3">
        <v>2000</v>
      </c>
      <c r="L417" s="3">
        <f t="shared" si="13"/>
        <v>0.79723477536011156</v>
      </c>
    </row>
    <row r="418" spans="1:12" x14ac:dyDescent="0.3">
      <c r="A418" s="3">
        <v>417</v>
      </c>
      <c r="B418" s="4">
        <v>45251</v>
      </c>
      <c r="C418" s="9" t="str">
        <f t="shared" si="12"/>
        <v>November</v>
      </c>
      <c r="D418" s="3" t="s">
        <v>430</v>
      </c>
      <c r="E418" s="3" t="s">
        <v>10</v>
      </c>
      <c r="F418" s="3">
        <v>43</v>
      </c>
      <c r="G418" s="8" t="str" cm="1">
        <f t="array" ref="G418">_xlfn.IFS(
    F418 &lt; 25, "Young",
    F418 &lt;= 40, "Mid-Age",
    F418 &gt; 40, "Old-Age"
)</f>
        <v>Old-Age</v>
      </c>
      <c r="H418" s="3" t="s">
        <v>16</v>
      </c>
      <c r="I418" s="3">
        <v>3</v>
      </c>
      <c r="J418" s="3">
        <v>300</v>
      </c>
      <c r="K418" s="3">
        <v>900</v>
      </c>
      <c r="L418" s="3">
        <f t="shared" si="13"/>
        <v>0.80265682204727329</v>
      </c>
    </row>
    <row r="419" spans="1:12" x14ac:dyDescent="0.3">
      <c r="A419" s="3">
        <v>418</v>
      </c>
      <c r="B419" s="4">
        <v>45143</v>
      </c>
      <c r="C419" s="9" t="str">
        <f t="shared" si="12"/>
        <v>August</v>
      </c>
      <c r="D419" s="3" t="s">
        <v>431</v>
      </c>
      <c r="E419" s="3" t="s">
        <v>13</v>
      </c>
      <c r="F419" s="3">
        <v>60</v>
      </c>
      <c r="G419" s="8" t="str" cm="1">
        <f t="array" ref="G419">_xlfn.IFS(
    F419 &lt; 25, "Young",
    F419 &lt;= 40, "Mid-Age",
    F419 &gt; 40, "Old-Age"
)</f>
        <v>Old-Age</v>
      </c>
      <c r="H419" s="3" t="s">
        <v>16</v>
      </c>
      <c r="I419" s="3">
        <v>2</v>
      </c>
      <c r="J419" s="3">
        <v>500</v>
      </c>
      <c r="K419" s="3">
        <v>1000</v>
      </c>
      <c r="L419" s="3">
        <f t="shared" si="13"/>
        <v>0.80589397838318855</v>
      </c>
    </row>
    <row r="420" spans="1:12" x14ac:dyDescent="0.3">
      <c r="A420" s="3">
        <v>419</v>
      </c>
      <c r="B420" s="4">
        <v>45068</v>
      </c>
      <c r="C420" s="9" t="str">
        <f t="shared" si="12"/>
        <v>May</v>
      </c>
      <c r="D420" s="3" t="s">
        <v>432</v>
      </c>
      <c r="E420" s="3" t="s">
        <v>13</v>
      </c>
      <c r="F420" s="3">
        <v>44</v>
      </c>
      <c r="G420" s="8" t="str" cm="1">
        <f t="array" ref="G420">_xlfn.IFS(
    F420 &lt; 25, "Young",
    F420 &lt;= 40, "Mid-Age",
    F420 &gt; 40, "Old-Age"
)</f>
        <v>Old-Age</v>
      </c>
      <c r="H420" s="3" t="s">
        <v>14</v>
      </c>
      <c r="I420" s="3">
        <v>3</v>
      </c>
      <c r="J420" s="3">
        <v>30</v>
      </c>
      <c r="K420" s="3">
        <v>90</v>
      </c>
      <c r="L420" s="3">
        <f t="shared" si="13"/>
        <v>0.81137371636532019</v>
      </c>
    </row>
    <row r="421" spans="1:12" x14ac:dyDescent="0.3">
      <c r="A421" s="3">
        <v>420</v>
      </c>
      <c r="B421" s="4">
        <v>44949</v>
      </c>
      <c r="C421" s="9" t="str">
        <f t="shared" si="12"/>
        <v>January</v>
      </c>
      <c r="D421" s="3" t="s">
        <v>433</v>
      </c>
      <c r="E421" s="3" t="s">
        <v>13</v>
      </c>
      <c r="F421" s="3">
        <v>22</v>
      </c>
      <c r="G421" s="8" t="str" cm="1">
        <f t="array" ref="G421">_xlfn.IFS(
    F421 &lt; 25, "Young",
    F421 &lt;= 40, "Mid-Age",
    F421 &gt; 40, "Old-Age"
)</f>
        <v>Young</v>
      </c>
      <c r="H421" s="3" t="s">
        <v>14</v>
      </c>
      <c r="I421" s="3">
        <v>4</v>
      </c>
      <c r="J421" s="3">
        <v>500</v>
      </c>
      <c r="K421" s="3">
        <v>2000</v>
      </c>
      <c r="L421" s="3">
        <f t="shared" si="13"/>
        <v>0.80871847213083337</v>
      </c>
    </row>
    <row r="422" spans="1:12" x14ac:dyDescent="0.3">
      <c r="A422" s="3">
        <v>421</v>
      </c>
      <c r="B422" s="4">
        <v>44928</v>
      </c>
      <c r="C422" s="9" t="str">
        <f t="shared" si="12"/>
        <v>January</v>
      </c>
      <c r="D422" s="3" t="s">
        <v>434</v>
      </c>
      <c r="E422" s="3" t="s">
        <v>13</v>
      </c>
      <c r="F422" s="3">
        <v>37</v>
      </c>
      <c r="G422" s="8" t="str" cm="1">
        <f t="array" ref="G422">_xlfn.IFS(
    F422 &lt; 25, "Young",
    F422 &lt;= 40, "Mid-Age",
    F422 &gt; 40, "Old-Age"
)</f>
        <v>Mid-Age</v>
      </c>
      <c r="H422" s="3" t="s">
        <v>14</v>
      </c>
      <c r="I422" s="3">
        <v>3</v>
      </c>
      <c r="J422" s="3">
        <v>500</v>
      </c>
      <c r="K422" s="3">
        <v>1500</v>
      </c>
      <c r="L422" s="3">
        <f t="shared" si="13"/>
        <v>0.8142226233940596</v>
      </c>
    </row>
    <row r="423" spans="1:12" x14ac:dyDescent="0.3">
      <c r="A423" s="3">
        <v>422</v>
      </c>
      <c r="B423" s="4">
        <v>45097</v>
      </c>
      <c r="C423" s="9" t="str">
        <f t="shared" si="12"/>
        <v>June</v>
      </c>
      <c r="D423" s="3" t="s">
        <v>435</v>
      </c>
      <c r="E423" s="3" t="s">
        <v>13</v>
      </c>
      <c r="F423" s="3">
        <v>28</v>
      </c>
      <c r="G423" s="8" t="str" cm="1">
        <f t="array" ref="G423">_xlfn.IFS(
    F423 &lt; 25, "Young",
    F423 &lt;= 40, "Mid-Age",
    F423 &gt; 40, "Old-Age"
)</f>
        <v>Mid-Age</v>
      </c>
      <c r="H423" s="3" t="s">
        <v>14</v>
      </c>
      <c r="I423" s="3">
        <v>3</v>
      </c>
      <c r="J423" s="3">
        <v>30</v>
      </c>
      <c r="K423" s="3">
        <v>90</v>
      </c>
      <c r="L423" s="3">
        <f t="shared" si="13"/>
        <v>0.81975402570302003</v>
      </c>
    </row>
    <row r="424" spans="1:12" x14ac:dyDescent="0.3">
      <c r="A424" s="3">
        <v>423</v>
      </c>
      <c r="B424" s="4">
        <v>44993</v>
      </c>
      <c r="C424" s="9" t="str">
        <f t="shared" si="12"/>
        <v>March</v>
      </c>
      <c r="D424" s="3" t="s">
        <v>436</v>
      </c>
      <c r="E424" s="3" t="s">
        <v>13</v>
      </c>
      <c r="F424" s="3">
        <v>27</v>
      </c>
      <c r="G424" s="8" t="str" cm="1">
        <f t="array" ref="G424">_xlfn.IFS(
    F424 &lt; 25, "Young",
    F424 &lt;= 40, "Mid-Age",
    F424 &gt; 40, "Old-Age"
)</f>
        <v>Mid-Age</v>
      </c>
      <c r="H424" s="3" t="s">
        <v>14</v>
      </c>
      <c r="I424" s="3">
        <v>1</v>
      </c>
      <c r="J424" s="3">
        <v>25</v>
      </c>
      <c r="K424" s="3">
        <v>25</v>
      </c>
      <c r="L424" s="3">
        <f t="shared" si="13"/>
        <v>0.81708806016452173</v>
      </c>
    </row>
    <row r="425" spans="1:12" x14ac:dyDescent="0.3">
      <c r="A425" s="3">
        <v>424</v>
      </c>
      <c r="B425" s="4">
        <v>45253</v>
      </c>
      <c r="C425" s="9" t="str">
        <f t="shared" si="12"/>
        <v>November</v>
      </c>
      <c r="D425" s="3" t="s">
        <v>437</v>
      </c>
      <c r="E425" s="3" t="s">
        <v>10</v>
      </c>
      <c r="F425" s="3">
        <v>57</v>
      </c>
      <c r="G425" s="8" t="str" cm="1">
        <f t="array" ref="G425">_xlfn.IFS(
    F425 &lt; 25, "Young",
    F425 &lt;= 40, "Mid-Age",
    F425 &gt; 40, "Old-Age"
)</f>
        <v>Old-Age</v>
      </c>
      <c r="H425" s="3" t="s">
        <v>11</v>
      </c>
      <c r="I425" s="3">
        <v>4</v>
      </c>
      <c r="J425" s="3">
        <v>300</v>
      </c>
      <c r="K425" s="3">
        <v>1200</v>
      </c>
      <c r="L425" s="3">
        <f t="shared" si="13"/>
        <v>0.81445000880107055</v>
      </c>
    </row>
    <row r="426" spans="1:12" x14ac:dyDescent="0.3">
      <c r="A426" s="3">
        <v>425</v>
      </c>
      <c r="B426" s="4">
        <v>45061</v>
      </c>
      <c r="C426" s="9" t="str">
        <f t="shared" si="12"/>
        <v>May</v>
      </c>
      <c r="D426" s="3" t="s">
        <v>438</v>
      </c>
      <c r="E426" s="3" t="s">
        <v>13</v>
      </c>
      <c r="F426" s="3">
        <v>55</v>
      </c>
      <c r="G426" s="8" t="str" cm="1">
        <f t="array" ref="G426">_xlfn.IFS(
    F426 &lt; 25, "Young",
    F426 &lt;= 40, "Mid-Age",
    F426 &gt; 40, "Old-Age"
)</f>
        <v>Old-Age</v>
      </c>
      <c r="H426" s="3" t="s">
        <v>16</v>
      </c>
      <c r="I426" s="3">
        <v>4</v>
      </c>
      <c r="J426" s="3">
        <v>30</v>
      </c>
      <c r="K426" s="3">
        <v>120</v>
      </c>
      <c r="L426" s="3">
        <f t="shared" si="13"/>
        <v>0.81778152750910582</v>
      </c>
    </row>
    <row r="427" spans="1:12" x14ac:dyDescent="0.3">
      <c r="A427" s="3">
        <v>426</v>
      </c>
      <c r="B427" s="4">
        <v>45009</v>
      </c>
      <c r="C427" s="9" t="str">
        <f t="shared" si="12"/>
        <v>March</v>
      </c>
      <c r="D427" s="3" t="s">
        <v>439</v>
      </c>
      <c r="E427" s="3" t="s">
        <v>10</v>
      </c>
      <c r="F427" s="3">
        <v>23</v>
      </c>
      <c r="G427" s="8" t="str" cm="1">
        <f t="array" ref="G427">_xlfn.IFS(
    F427 &lt; 25, "Young",
    F427 &lt;= 40, "Mid-Age",
    F427 &gt; 40, "Old-Age"
)</f>
        <v>Young</v>
      </c>
      <c r="H427" s="3" t="s">
        <v>16</v>
      </c>
      <c r="I427" s="3">
        <v>3</v>
      </c>
      <c r="J427" s="3">
        <v>50</v>
      </c>
      <c r="K427" s="3">
        <v>150</v>
      </c>
      <c r="L427" s="3">
        <f t="shared" si="13"/>
        <v>0.81510101313680505</v>
      </c>
    </row>
    <row r="428" spans="1:12" x14ac:dyDescent="0.3">
      <c r="A428" s="3">
        <v>427</v>
      </c>
      <c r="B428" s="4">
        <v>45153</v>
      </c>
      <c r="C428" s="9" t="str">
        <f t="shared" si="12"/>
        <v>August</v>
      </c>
      <c r="D428" s="3" t="s">
        <v>440</v>
      </c>
      <c r="E428" s="3" t="s">
        <v>10</v>
      </c>
      <c r="F428" s="3">
        <v>25</v>
      </c>
      <c r="G428" s="8" t="str" cm="1">
        <f t="array" ref="G428">_xlfn.IFS(
    F428 &lt; 25, "Young",
    F428 &lt;= 40, "Mid-Age",
    F428 &gt; 40, "Old-Age"
)</f>
        <v>Mid-Age</v>
      </c>
      <c r="H428" s="3" t="s">
        <v>16</v>
      </c>
      <c r="I428" s="3">
        <v>1</v>
      </c>
      <c r="J428" s="3">
        <v>25</v>
      </c>
      <c r="K428" s="3">
        <v>25</v>
      </c>
      <c r="L428" s="3">
        <f t="shared" si="13"/>
        <v>0.81236881973252073</v>
      </c>
    </row>
    <row r="429" spans="1:12" x14ac:dyDescent="0.3">
      <c r="A429" s="3">
        <v>428</v>
      </c>
      <c r="B429" s="4">
        <v>45209</v>
      </c>
      <c r="C429" s="9" t="str">
        <f t="shared" si="12"/>
        <v>October</v>
      </c>
      <c r="D429" s="3" t="s">
        <v>441</v>
      </c>
      <c r="E429" s="3" t="s">
        <v>13</v>
      </c>
      <c r="F429" s="3">
        <v>40</v>
      </c>
      <c r="G429" s="8" t="str" cm="1">
        <f t="array" ref="G429">_xlfn.IFS(
    F429 &lt; 25, "Young",
    F429 &lt;= 40, "Mid-Age",
    F429 &gt; 40, "Old-Age"
)</f>
        <v>Mid-Age</v>
      </c>
      <c r="H429" s="3" t="s">
        <v>16</v>
      </c>
      <c r="I429" s="3">
        <v>4</v>
      </c>
      <c r="J429" s="3">
        <v>50</v>
      </c>
      <c r="K429" s="3">
        <v>200</v>
      </c>
      <c r="L429" s="3">
        <f t="shared" si="13"/>
        <v>0.80971059418407765</v>
      </c>
    </row>
    <row r="430" spans="1:12" x14ac:dyDescent="0.3">
      <c r="A430" s="3">
        <v>429</v>
      </c>
      <c r="B430" s="4">
        <v>45288</v>
      </c>
      <c r="C430" s="9" t="str">
        <f t="shared" si="12"/>
        <v>December</v>
      </c>
      <c r="D430" s="3" t="s">
        <v>442</v>
      </c>
      <c r="E430" s="3" t="s">
        <v>10</v>
      </c>
      <c r="F430" s="3">
        <v>64</v>
      </c>
      <c r="G430" s="8" t="str" cm="1">
        <f t="array" ref="G430">_xlfn.IFS(
    F430 &lt; 25, "Young",
    F430 &lt;= 40, "Mid-Age",
    F430 &gt; 40, "Old-Age"
)</f>
        <v>Old-Age</v>
      </c>
      <c r="H430" s="3" t="s">
        <v>16</v>
      </c>
      <c r="I430" s="3">
        <v>2</v>
      </c>
      <c r="J430" s="3">
        <v>25</v>
      </c>
      <c r="K430" s="3">
        <v>50</v>
      </c>
      <c r="L430" s="3">
        <f t="shared" si="13"/>
        <v>0.80696704381538242</v>
      </c>
    </row>
    <row r="431" spans="1:12" x14ac:dyDescent="0.3">
      <c r="A431" s="3">
        <v>430</v>
      </c>
      <c r="B431" s="4">
        <v>45145</v>
      </c>
      <c r="C431" s="9" t="str">
        <f t="shared" si="12"/>
        <v>August</v>
      </c>
      <c r="D431" s="3" t="s">
        <v>443</v>
      </c>
      <c r="E431" s="3" t="s">
        <v>13</v>
      </c>
      <c r="F431" s="3">
        <v>43</v>
      </c>
      <c r="G431" s="8" t="str" cm="1">
        <f t="array" ref="G431">_xlfn.IFS(
    F431 &lt; 25, "Young",
    F431 &lt;= 40, "Mid-Age",
    F431 &gt; 40, "Old-Age"
)</f>
        <v>Old-Age</v>
      </c>
      <c r="H431" s="3" t="s">
        <v>16</v>
      </c>
      <c r="I431" s="3">
        <v>3</v>
      </c>
      <c r="J431" s="3">
        <v>300</v>
      </c>
      <c r="K431" s="3">
        <v>900</v>
      </c>
      <c r="L431" s="3">
        <f t="shared" si="13"/>
        <v>0.80429794125767751</v>
      </c>
    </row>
    <row r="432" spans="1:12" x14ac:dyDescent="0.3">
      <c r="A432" s="3">
        <v>431</v>
      </c>
      <c r="B432" s="4">
        <v>45214</v>
      </c>
      <c r="C432" s="9" t="str">
        <f t="shared" si="12"/>
        <v>October</v>
      </c>
      <c r="D432" s="3" t="s">
        <v>444</v>
      </c>
      <c r="E432" s="3" t="s">
        <v>10</v>
      </c>
      <c r="F432" s="3">
        <v>63</v>
      </c>
      <c r="G432" s="8" t="str" cm="1">
        <f t="array" ref="G432">_xlfn.IFS(
    F432 &lt; 25, "Young",
    F432 &lt;= 40, "Mid-Age",
    F432 &gt; 40, "Old-Age"
)</f>
        <v>Old-Age</v>
      </c>
      <c r="H432" s="3" t="s">
        <v>16</v>
      </c>
      <c r="I432" s="3">
        <v>4</v>
      </c>
      <c r="J432" s="3">
        <v>300</v>
      </c>
      <c r="K432" s="3">
        <v>1200</v>
      </c>
      <c r="L432" s="3">
        <f t="shared" si="13"/>
        <v>0.80762156394111262</v>
      </c>
    </row>
    <row r="433" spans="1:12" x14ac:dyDescent="0.3">
      <c r="A433" s="3">
        <v>432</v>
      </c>
      <c r="B433" s="4">
        <v>44931</v>
      </c>
      <c r="C433" s="9" t="str">
        <f t="shared" si="12"/>
        <v>January</v>
      </c>
      <c r="D433" s="3" t="s">
        <v>445</v>
      </c>
      <c r="E433" s="3" t="s">
        <v>13</v>
      </c>
      <c r="F433" s="3">
        <v>60</v>
      </c>
      <c r="G433" s="8" t="str" cm="1">
        <f t="array" ref="G433">_xlfn.IFS(
    F433 &lt; 25, "Young",
    F433 &lt;= 40, "Mid-Age",
    F433 &gt; 40, "Old-Age"
)</f>
        <v>Old-Age</v>
      </c>
      <c r="H433" s="3" t="s">
        <v>16</v>
      </c>
      <c r="I433" s="3">
        <v>2</v>
      </c>
      <c r="J433" s="3">
        <v>500</v>
      </c>
      <c r="K433" s="3">
        <v>1000</v>
      </c>
      <c r="L433" s="3">
        <f t="shared" si="13"/>
        <v>0.81095725209612401</v>
      </c>
    </row>
    <row r="434" spans="1:12" x14ac:dyDescent="0.3">
      <c r="A434" s="3">
        <v>433</v>
      </c>
      <c r="B434" s="4">
        <v>44984</v>
      </c>
      <c r="C434" s="9" t="str">
        <f t="shared" si="12"/>
        <v>February</v>
      </c>
      <c r="D434" s="3" t="s">
        <v>446</v>
      </c>
      <c r="E434" s="3" t="s">
        <v>10</v>
      </c>
      <c r="F434" s="3">
        <v>29</v>
      </c>
      <c r="G434" s="8" t="str" cm="1">
        <f t="array" ref="G434">_xlfn.IFS(
    F434 &lt; 25, "Young",
    F434 &lt;= 40, "Mid-Age",
    F434 &gt; 40, "Old-Age"
)</f>
        <v>Mid-Age</v>
      </c>
      <c r="H434" s="3" t="s">
        <v>11</v>
      </c>
      <c r="I434" s="3">
        <v>4</v>
      </c>
      <c r="J434" s="3">
        <v>50</v>
      </c>
      <c r="K434" s="3">
        <v>200</v>
      </c>
      <c r="L434" s="3">
        <f t="shared" si="13"/>
        <v>0.81659489101224692</v>
      </c>
    </row>
    <row r="435" spans="1:12" x14ac:dyDescent="0.3">
      <c r="A435" s="3">
        <v>434</v>
      </c>
      <c r="B435" s="4">
        <v>44965</v>
      </c>
      <c r="C435" s="9" t="str">
        <f t="shared" si="12"/>
        <v>February</v>
      </c>
      <c r="D435" s="3" t="s">
        <v>447</v>
      </c>
      <c r="E435" s="3" t="s">
        <v>13</v>
      </c>
      <c r="F435" s="3">
        <v>43</v>
      </c>
      <c r="G435" s="8" t="str" cm="1">
        <f t="array" ref="G435">_xlfn.IFS(
    F435 &lt; 25, "Young",
    F435 &lt;= 40, "Mid-Age",
    F435 &gt; 40, "Old-Age"
)</f>
        <v>Old-Age</v>
      </c>
      <c r="H435" s="3" t="s">
        <v>16</v>
      </c>
      <c r="I435" s="3">
        <v>2</v>
      </c>
      <c r="J435" s="3">
        <v>25</v>
      </c>
      <c r="K435" s="3">
        <v>50</v>
      </c>
      <c r="L435" s="3">
        <f t="shared" si="13"/>
        <v>0.81382950895158623</v>
      </c>
    </row>
    <row r="436" spans="1:12" x14ac:dyDescent="0.3">
      <c r="A436" s="3">
        <v>435</v>
      </c>
      <c r="B436" s="4">
        <v>45280</v>
      </c>
      <c r="C436" s="9" t="str">
        <f t="shared" si="12"/>
        <v>December</v>
      </c>
      <c r="D436" s="3" t="s">
        <v>448</v>
      </c>
      <c r="E436" s="3" t="s">
        <v>13</v>
      </c>
      <c r="F436" s="3">
        <v>30</v>
      </c>
      <c r="G436" s="8" t="str" cm="1">
        <f t="array" ref="G436">_xlfn.IFS(
    F436 &lt; 25, "Young",
    F436 &lt;= 40, "Mid-Age",
    F436 &gt; 40, "Old-Age"
)</f>
        <v>Mid-Age</v>
      </c>
      <c r="H436" s="3" t="s">
        <v>11</v>
      </c>
      <c r="I436" s="3">
        <v>3</v>
      </c>
      <c r="J436" s="3">
        <v>300</v>
      </c>
      <c r="K436" s="3">
        <v>900</v>
      </c>
      <c r="L436" s="3">
        <f t="shared" si="13"/>
        <v>0.81113808699248302</v>
      </c>
    </row>
    <row r="437" spans="1:12" x14ac:dyDescent="0.3">
      <c r="A437" s="3">
        <v>436</v>
      </c>
      <c r="B437" s="4">
        <v>45003</v>
      </c>
      <c r="C437" s="9" t="str">
        <f t="shared" si="12"/>
        <v>March</v>
      </c>
      <c r="D437" s="3" t="s">
        <v>449</v>
      </c>
      <c r="E437" s="3" t="s">
        <v>13</v>
      </c>
      <c r="F437" s="3">
        <v>57</v>
      </c>
      <c r="G437" s="8" t="str" cm="1">
        <f t="array" ref="G437">_xlfn.IFS(
    F437 &lt; 25, "Young",
    F437 &lt;= 40, "Mid-Age",
    F437 &gt; 40, "Old-Age"
)</f>
        <v>Old-Age</v>
      </c>
      <c r="H437" s="3" t="s">
        <v>14</v>
      </c>
      <c r="I437" s="3">
        <v>4</v>
      </c>
      <c r="J437" s="3">
        <v>30</v>
      </c>
      <c r="K437" s="3">
        <v>120</v>
      </c>
      <c r="L437" s="3">
        <f t="shared" si="13"/>
        <v>0.81451098367325703</v>
      </c>
    </row>
    <row r="438" spans="1:12" x14ac:dyDescent="0.3">
      <c r="A438" s="3">
        <v>437</v>
      </c>
      <c r="B438" s="4">
        <v>45206</v>
      </c>
      <c r="C438" s="9" t="str">
        <f t="shared" si="12"/>
        <v>October</v>
      </c>
      <c r="D438" s="3" t="s">
        <v>450</v>
      </c>
      <c r="E438" s="3" t="s">
        <v>13</v>
      </c>
      <c r="F438" s="3">
        <v>35</v>
      </c>
      <c r="G438" s="8" t="str" cm="1">
        <f t="array" ref="G438">_xlfn.IFS(
    F438 &lt; 25, "Young",
    F438 &lt;= 40, "Mid-Age",
    F438 &gt; 40, "Old-Age"
)</f>
        <v>Mid-Age</v>
      </c>
      <c r="H438" s="3" t="s">
        <v>16</v>
      </c>
      <c r="I438" s="3">
        <v>4</v>
      </c>
      <c r="J438" s="3">
        <v>300</v>
      </c>
      <c r="K438" s="3">
        <v>1200</v>
      </c>
      <c r="L438" s="3">
        <f t="shared" si="13"/>
        <v>0.81177638968096966</v>
      </c>
    </row>
    <row r="439" spans="1:12" x14ac:dyDescent="0.3">
      <c r="A439" s="3">
        <v>438</v>
      </c>
      <c r="B439" s="4">
        <v>44945</v>
      </c>
      <c r="C439" s="9" t="str">
        <f t="shared" si="12"/>
        <v>January</v>
      </c>
      <c r="D439" s="3" t="s">
        <v>451</v>
      </c>
      <c r="E439" s="3" t="s">
        <v>13</v>
      </c>
      <c r="F439" s="3">
        <v>42</v>
      </c>
      <c r="G439" s="8" t="str" cm="1">
        <f t="array" ref="G439">_xlfn.IFS(
    F439 &lt; 25, "Young",
    F439 &lt;= 40, "Mid-Age",
    F439 &gt; 40, "Old-Age"
)</f>
        <v>Old-Age</v>
      </c>
      <c r="H439" s="3" t="s">
        <v>14</v>
      </c>
      <c r="I439" s="3">
        <v>1</v>
      </c>
      <c r="J439" s="3">
        <v>30</v>
      </c>
      <c r="K439" s="3">
        <v>30</v>
      </c>
      <c r="L439" s="3">
        <f t="shared" si="13"/>
        <v>0.81515739494008588</v>
      </c>
    </row>
    <row r="440" spans="1:12" x14ac:dyDescent="0.3">
      <c r="A440" s="3">
        <v>439</v>
      </c>
      <c r="B440" s="4">
        <v>45116</v>
      </c>
      <c r="C440" s="9" t="str">
        <f t="shared" si="12"/>
        <v>July</v>
      </c>
      <c r="D440" s="3" t="s">
        <v>452</v>
      </c>
      <c r="E440" s="3" t="s">
        <v>10</v>
      </c>
      <c r="F440" s="3">
        <v>50</v>
      </c>
      <c r="G440" s="8" t="str" cm="1">
        <f t="array" ref="G440">_xlfn.IFS(
    F440 &lt; 25, "Young",
    F440 &lt;= 40, "Mid-Age",
    F440 &gt; 40, "Old-Age"
)</f>
        <v>Old-Age</v>
      </c>
      <c r="H440" s="3" t="s">
        <v>14</v>
      </c>
      <c r="I440" s="3">
        <v>3</v>
      </c>
      <c r="J440" s="3">
        <v>25</v>
      </c>
      <c r="K440" s="3">
        <v>75</v>
      </c>
      <c r="L440" s="3">
        <f t="shared" si="13"/>
        <v>0.81241294692381338</v>
      </c>
    </row>
    <row r="441" spans="1:12" x14ac:dyDescent="0.3">
      <c r="A441" s="3">
        <v>440</v>
      </c>
      <c r="B441" s="4">
        <v>45225</v>
      </c>
      <c r="C441" s="9" t="str">
        <f t="shared" si="12"/>
        <v>October</v>
      </c>
      <c r="D441" s="3" t="s">
        <v>453</v>
      </c>
      <c r="E441" s="3" t="s">
        <v>10</v>
      </c>
      <c r="F441" s="3">
        <v>64</v>
      </c>
      <c r="G441" s="8" t="str" cm="1">
        <f t="array" ref="G441">_xlfn.IFS(
    F441 &lt; 25, "Young",
    F441 &lt;= 40, "Mid-Age",
    F441 &gt; 40, "Old-Age"
)</f>
        <v>Old-Age</v>
      </c>
      <c r="H441" s="3" t="s">
        <v>14</v>
      </c>
      <c r="I441" s="3">
        <v>2</v>
      </c>
      <c r="J441" s="3">
        <v>300</v>
      </c>
      <c r="K441" s="3">
        <v>600</v>
      </c>
      <c r="L441" s="3">
        <f t="shared" si="13"/>
        <v>0.80969652469370745</v>
      </c>
    </row>
    <row r="442" spans="1:12" x14ac:dyDescent="0.3">
      <c r="A442" s="3">
        <v>441</v>
      </c>
      <c r="B442" s="4">
        <v>45209</v>
      </c>
      <c r="C442" s="9" t="str">
        <f t="shared" si="12"/>
        <v>October</v>
      </c>
      <c r="D442" s="3" t="s">
        <v>454</v>
      </c>
      <c r="E442" s="3" t="s">
        <v>10</v>
      </c>
      <c r="F442" s="3">
        <v>57</v>
      </c>
      <c r="G442" s="8" t="str" cm="1">
        <f t="array" ref="G442">_xlfn.IFS(
    F442 &lt; 25, "Young",
    F442 &lt;= 40, "Mid-Age",
    F442 &gt; 40, "Old-Age"
)</f>
        <v>Old-Age</v>
      </c>
      <c r="H442" s="3" t="s">
        <v>11</v>
      </c>
      <c r="I442" s="3">
        <v>4</v>
      </c>
      <c r="J442" s="3">
        <v>300</v>
      </c>
      <c r="K442" s="3">
        <v>1200</v>
      </c>
      <c r="L442" s="3">
        <f t="shared" si="13"/>
        <v>0.81308120492970359</v>
      </c>
    </row>
    <row r="443" spans="1:12" x14ac:dyDescent="0.3">
      <c r="A443" s="3">
        <v>442</v>
      </c>
      <c r="B443" s="4">
        <v>45002</v>
      </c>
      <c r="C443" s="9" t="str">
        <f t="shared" si="12"/>
        <v>March</v>
      </c>
      <c r="D443" s="3" t="s">
        <v>455</v>
      </c>
      <c r="E443" s="3" t="s">
        <v>13</v>
      </c>
      <c r="F443" s="3">
        <v>60</v>
      </c>
      <c r="G443" s="8" t="str" cm="1">
        <f t="array" ref="G443">_xlfn.IFS(
    F443 &lt; 25, "Young",
    F443 &lt;= 40, "Mid-Age",
    F443 &gt; 40, "Old-Age"
)</f>
        <v>Old-Age</v>
      </c>
      <c r="H443" s="3" t="s">
        <v>14</v>
      </c>
      <c r="I443" s="3">
        <v>4</v>
      </c>
      <c r="J443" s="3">
        <v>25</v>
      </c>
      <c r="K443" s="3">
        <v>100</v>
      </c>
      <c r="L443" s="3">
        <f t="shared" si="13"/>
        <v>0.81647840664885396</v>
      </c>
    </row>
    <row r="444" spans="1:12" x14ac:dyDescent="0.3">
      <c r="A444" s="3">
        <v>443</v>
      </c>
      <c r="B444" s="4">
        <v>45147</v>
      </c>
      <c r="C444" s="9" t="str">
        <f t="shared" si="12"/>
        <v>August</v>
      </c>
      <c r="D444" s="3" t="s">
        <v>456</v>
      </c>
      <c r="E444" s="3" t="s">
        <v>10</v>
      </c>
      <c r="F444" s="3">
        <v>29</v>
      </c>
      <c r="G444" s="8" t="str" cm="1">
        <f t="array" ref="G444">_xlfn.IFS(
    F444 &lt; 25, "Young",
    F444 &lt;= 40, "Mid-Age",
    F444 &gt; 40, "Old-Age"
)</f>
        <v>Mid-Age</v>
      </c>
      <c r="H444" s="3" t="s">
        <v>14</v>
      </c>
      <c r="I444" s="3">
        <v>2</v>
      </c>
      <c r="J444" s="3">
        <v>300</v>
      </c>
      <c r="K444" s="3">
        <v>600</v>
      </c>
      <c r="L444" s="3">
        <f t="shared" si="13"/>
        <v>0.81374763737827482</v>
      </c>
    </row>
    <row r="445" spans="1:12" x14ac:dyDescent="0.3">
      <c r="A445" s="3">
        <v>444</v>
      </c>
      <c r="B445" s="4">
        <v>44992</v>
      </c>
      <c r="C445" s="9" t="str">
        <f t="shared" si="12"/>
        <v>March</v>
      </c>
      <c r="D445" s="3" t="s">
        <v>457</v>
      </c>
      <c r="E445" s="3" t="s">
        <v>13</v>
      </c>
      <c r="F445" s="3">
        <v>61</v>
      </c>
      <c r="G445" s="8" t="str" cm="1">
        <f t="array" ref="G445">_xlfn.IFS(
    F445 &lt; 25, "Young",
    F445 &lt;= 40, "Mid-Age",
    F445 &gt; 40, "Old-Age"
)</f>
        <v>Old-Age</v>
      </c>
      <c r="H445" s="3" t="s">
        <v>14</v>
      </c>
      <c r="I445" s="3">
        <v>3</v>
      </c>
      <c r="J445" s="3">
        <v>30</v>
      </c>
      <c r="K445" s="3">
        <v>90</v>
      </c>
      <c r="L445" s="3">
        <f t="shared" si="13"/>
        <v>0.81715292484337054</v>
      </c>
    </row>
    <row r="446" spans="1:12" x14ac:dyDescent="0.3">
      <c r="A446" s="3">
        <v>445</v>
      </c>
      <c r="B446" s="4">
        <v>44948</v>
      </c>
      <c r="C446" s="9" t="str">
        <f t="shared" si="12"/>
        <v>January</v>
      </c>
      <c r="D446" s="3" t="s">
        <v>458</v>
      </c>
      <c r="E446" s="3" t="s">
        <v>13</v>
      </c>
      <c r="F446" s="3">
        <v>53</v>
      </c>
      <c r="G446" s="8" t="str" cm="1">
        <f t="array" ref="G446">_xlfn.IFS(
    F446 &lt; 25, "Young",
    F446 &lt;= 40, "Mid-Age",
    F446 &gt; 40, "Old-Age"
)</f>
        <v>Old-Age</v>
      </c>
      <c r="H446" s="3" t="s">
        <v>16</v>
      </c>
      <c r="I446" s="3">
        <v>1</v>
      </c>
      <c r="J446" s="3">
        <v>300</v>
      </c>
      <c r="K446" s="3">
        <v>300</v>
      </c>
      <c r="L446" s="3">
        <f t="shared" si="13"/>
        <v>0.81437868104998423</v>
      </c>
    </row>
    <row r="447" spans="1:12" x14ac:dyDescent="0.3">
      <c r="A447" s="3">
        <v>446</v>
      </c>
      <c r="B447" s="4">
        <v>45084</v>
      </c>
      <c r="C447" s="9" t="str">
        <f t="shared" si="12"/>
        <v>June</v>
      </c>
      <c r="D447" s="3" t="s">
        <v>459</v>
      </c>
      <c r="E447" s="3" t="s">
        <v>10</v>
      </c>
      <c r="F447" s="3">
        <v>21</v>
      </c>
      <c r="G447" s="8" t="str" cm="1">
        <f t="array" ref="G447">_xlfn.IFS(
    F447 &lt; 25, "Young",
    F447 &lt;= 40, "Mid-Age",
    F447 &gt; 40, "Old-Age"
)</f>
        <v>Young</v>
      </c>
      <c r="H447" s="3" t="s">
        <v>16</v>
      </c>
      <c r="I447" s="3">
        <v>1</v>
      </c>
      <c r="J447" s="3">
        <v>50</v>
      </c>
      <c r="K447" s="3">
        <v>50</v>
      </c>
      <c r="L447" s="3">
        <f t="shared" si="13"/>
        <v>0.81779220705666356</v>
      </c>
    </row>
    <row r="448" spans="1:12" x14ac:dyDescent="0.3">
      <c r="A448" s="3">
        <v>447</v>
      </c>
      <c r="B448" s="4">
        <v>45113</v>
      </c>
      <c r="C448" s="9" t="str">
        <f t="shared" si="12"/>
        <v>July</v>
      </c>
      <c r="D448" s="3" t="s">
        <v>460</v>
      </c>
      <c r="E448" s="3" t="s">
        <v>10</v>
      </c>
      <c r="F448" s="3">
        <v>22</v>
      </c>
      <c r="G448" s="8" t="str" cm="1">
        <f t="array" ref="G448">_xlfn.IFS(
    F448 &lt; 25, "Young",
    F448 &lt;= 40, "Mid-Age",
    F448 &gt; 40, "Old-Age"
)</f>
        <v>Young</v>
      </c>
      <c r="H448" s="3" t="s">
        <v>11</v>
      </c>
      <c r="I448" s="3">
        <v>4</v>
      </c>
      <c r="J448" s="3">
        <v>500</v>
      </c>
      <c r="K448" s="3">
        <v>2000</v>
      </c>
      <c r="L448" s="3">
        <f t="shared" si="13"/>
        <v>0.81496250137958148</v>
      </c>
    </row>
    <row r="449" spans="1:12" x14ac:dyDescent="0.3">
      <c r="A449" s="3">
        <v>448</v>
      </c>
      <c r="B449" s="4">
        <v>44947</v>
      </c>
      <c r="C449" s="9" t="str">
        <f t="shared" si="12"/>
        <v>January</v>
      </c>
      <c r="D449" s="3" t="s">
        <v>461</v>
      </c>
      <c r="E449" s="3" t="s">
        <v>13</v>
      </c>
      <c r="F449" s="3">
        <v>54</v>
      </c>
      <c r="G449" s="8" t="str" cm="1">
        <f t="array" ref="G449">_xlfn.IFS(
    F449 &lt; 25, "Young",
    F449 &lt;= 40, "Mid-Age",
    F449 &gt; 40, "Old-Age"
)</f>
        <v>Old-Age</v>
      </c>
      <c r="H449" s="3" t="s">
        <v>11</v>
      </c>
      <c r="I449" s="3">
        <v>2</v>
      </c>
      <c r="J449" s="3">
        <v>30</v>
      </c>
      <c r="K449" s="3">
        <v>60</v>
      </c>
      <c r="L449" s="3">
        <f t="shared" si="13"/>
        <v>0.82081011649235147</v>
      </c>
    </row>
    <row r="450" spans="1:12" x14ac:dyDescent="0.3">
      <c r="A450" s="3">
        <v>449</v>
      </c>
      <c r="B450" s="4">
        <v>45110</v>
      </c>
      <c r="C450" s="9" t="str">
        <f t="shared" ref="C450:C513" si="14">TEXT(B450,"mmmm")</f>
        <v>July</v>
      </c>
      <c r="D450" s="3" t="s">
        <v>462</v>
      </c>
      <c r="E450" s="3" t="s">
        <v>10</v>
      </c>
      <c r="F450" s="3">
        <v>25</v>
      </c>
      <c r="G450" s="8" t="str" cm="1">
        <f t="array" ref="G450">_xlfn.IFS(
    F450 &lt; 25, "Young",
    F450 &lt;= 40, "Mid-Age",
    F450 &gt; 40, "Old-Age"
)</f>
        <v>Mid-Age</v>
      </c>
      <c r="H450" s="3" t="s">
        <v>16</v>
      </c>
      <c r="I450" s="3">
        <v>4</v>
      </c>
      <c r="J450" s="3">
        <v>50</v>
      </c>
      <c r="K450" s="3">
        <v>200</v>
      </c>
      <c r="L450" s="3">
        <f t="shared" ref="L450:L513" si="15">SKEW(J450:J1449)</f>
        <v>0.81801660929149889</v>
      </c>
    </row>
    <row r="451" spans="1:12" x14ac:dyDescent="0.3">
      <c r="A451" s="3">
        <v>450</v>
      </c>
      <c r="B451" s="4">
        <v>45034</v>
      </c>
      <c r="C451" s="9" t="str">
        <f t="shared" si="14"/>
        <v>April</v>
      </c>
      <c r="D451" s="3" t="s">
        <v>463</v>
      </c>
      <c r="E451" s="3" t="s">
        <v>13</v>
      </c>
      <c r="F451" s="3">
        <v>59</v>
      </c>
      <c r="G451" s="8" t="str" cm="1">
        <f t="array" ref="G451">_xlfn.IFS(
    F451 &lt; 25, "Young",
    F451 &lt;= 40, "Mid-Age",
    F451 &gt; 40, "Old-Age"
)</f>
        <v>Old-Age</v>
      </c>
      <c r="H451" s="3" t="s">
        <v>11</v>
      </c>
      <c r="I451" s="3">
        <v>2</v>
      </c>
      <c r="J451" s="3">
        <v>25</v>
      </c>
      <c r="K451" s="3">
        <v>50</v>
      </c>
      <c r="L451" s="3">
        <f t="shared" si="15"/>
        <v>0.81517153846522994</v>
      </c>
    </row>
    <row r="452" spans="1:12" x14ac:dyDescent="0.3">
      <c r="A452" s="3">
        <v>451</v>
      </c>
      <c r="B452" s="4">
        <v>45276</v>
      </c>
      <c r="C452" s="9" t="str">
        <f t="shared" si="14"/>
        <v>December</v>
      </c>
      <c r="D452" s="3" t="s">
        <v>464</v>
      </c>
      <c r="E452" s="3" t="s">
        <v>13</v>
      </c>
      <c r="F452" s="3">
        <v>45</v>
      </c>
      <c r="G452" s="8" t="str" cm="1">
        <f t="array" ref="G452">_xlfn.IFS(
    F452 &lt; 25, "Young",
    F452 &lt;= 40, "Mid-Age",
    F452 &gt; 40, "Old-Age"
)</f>
        <v>Old-Age</v>
      </c>
      <c r="H452" s="3" t="s">
        <v>16</v>
      </c>
      <c r="I452" s="3">
        <v>1</v>
      </c>
      <c r="J452" s="3">
        <v>30</v>
      </c>
      <c r="K452" s="3">
        <v>30</v>
      </c>
      <c r="L452" s="3">
        <f t="shared" si="15"/>
        <v>0.81239988526277518</v>
      </c>
    </row>
    <row r="453" spans="1:12" x14ac:dyDescent="0.3">
      <c r="A453" s="3">
        <v>452</v>
      </c>
      <c r="B453" s="4">
        <v>45054</v>
      </c>
      <c r="C453" s="9" t="str">
        <f t="shared" si="14"/>
        <v>May</v>
      </c>
      <c r="D453" s="3" t="s">
        <v>465</v>
      </c>
      <c r="E453" s="3" t="s">
        <v>13</v>
      </c>
      <c r="F453" s="3">
        <v>48</v>
      </c>
      <c r="G453" s="8" t="str" cm="1">
        <f t="array" ref="G453">_xlfn.IFS(
    F453 &lt; 25, "Young",
    F453 &lt;= 40, "Mid-Age",
    F453 &gt; 40, "Old-Age"
)</f>
        <v>Old-Age</v>
      </c>
      <c r="H453" s="3" t="s">
        <v>14</v>
      </c>
      <c r="I453" s="3">
        <v>3</v>
      </c>
      <c r="J453" s="3">
        <v>500</v>
      </c>
      <c r="K453" s="3">
        <v>1500</v>
      </c>
      <c r="L453" s="3">
        <f t="shared" si="15"/>
        <v>0.80958872051811748</v>
      </c>
    </row>
    <row r="454" spans="1:12" x14ac:dyDescent="0.3">
      <c r="A454" s="3">
        <v>453</v>
      </c>
      <c r="B454" s="4">
        <v>45268</v>
      </c>
      <c r="C454" s="9" t="str">
        <f t="shared" si="14"/>
        <v>December</v>
      </c>
      <c r="D454" s="3" t="s">
        <v>466</v>
      </c>
      <c r="E454" s="3" t="s">
        <v>13</v>
      </c>
      <c r="F454" s="3">
        <v>26</v>
      </c>
      <c r="G454" s="8" t="str" cm="1">
        <f t="array" ref="G454">_xlfn.IFS(
    F454 &lt; 25, "Young",
    F454 &lt;= 40, "Mid-Age",
    F454 &gt; 40, "Old-Age"
)</f>
        <v>Mid-Age</v>
      </c>
      <c r="H454" s="3" t="s">
        <v>14</v>
      </c>
      <c r="I454" s="3">
        <v>2</v>
      </c>
      <c r="J454" s="3">
        <v>500</v>
      </c>
      <c r="K454" s="3">
        <v>1000</v>
      </c>
      <c r="L454" s="3">
        <f t="shared" si="15"/>
        <v>0.81545576961681909</v>
      </c>
    </row>
    <row r="455" spans="1:12" x14ac:dyDescent="0.3">
      <c r="A455" s="3">
        <v>454</v>
      </c>
      <c r="B455" s="4">
        <v>44979</v>
      </c>
      <c r="C455" s="9" t="str">
        <f t="shared" si="14"/>
        <v>February</v>
      </c>
      <c r="D455" s="3" t="s">
        <v>467</v>
      </c>
      <c r="E455" s="3" t="s">
        <v>13</v>
      </c>
      <c r="F455" s="3">
        <v>46</v>
      </c>
      <c r="G455" s="8" t="str" cm="1">
        <f t="array" ref="G455">_xlfn.IFS(
    F455 &lt; 25, "Young",
    F455 &lt;= 40, "Mid-Age",
    F455 &gt; 40, "Old-Age"
)</f>
        <v>Old-Age</v>
      </c>
      <c r="H455" s="3" t="s">
        <v>11</v>
      </c>
      <c r="I455" s="3">
        <v>1</v>
      </c>
      <c r="J455" s="3">
        <v>25</v>
      </c>
      <c r="K455" s="3">
        <v>25</v>
      </c>
      <c r="L455" s="3">
        <f t="shared" si="15"/>
        <v>0.82135450638551133</v>
      </c>
    </row>
    <row r="456" spans="1:12" x14ac:dyDescent="0.3">
      <c r="A456" s="3">
        <v>455</v>
      </c>
      <c r="B456" s="4">
        <v>45108</v>
      </c>
      <c r="C456" s="9" t="str">
        <f t="shared" si="14"/>
        <v>July</v>
      </c>
      <c r="D456" s="3" t="s">
        <v>468</v>
      </c>
      <c r="E456" s="3" t="s">
        <v>10</v>
      </c>
      <c r="F456" s="3">
        <v>31</v>
      </c>
      <c r="G456" s="8" t="str" cm="1">
        <f t="array" ref="G456">_xlfn.IFS(
    F456 &lt; 25, "Young",
    F456 &lt;= 40, "Mid-Age",
    F456 &gt; 40, "Old-Age"
)</f>
        <v>Mid-Age</v>
      </c>
      <c r="H456" s="3" t="s">
        <v>16</v>
      </c>
      <c r="I456" s="3">
        <v>4</v>
      </c>
      <c r="J456" s="3">
        <v>25</v>
      </c>
      <c r="K456" s="3">
        <v>100</v>
      </c>
      <c r="L456" s="3">
        <f t="shared" si="15"/>
        <v>0.81856576070425324</v>
      </c>
    </row>
    <row r="457" spans="1:12" x14ac:dyDescent="0.3">
      <c r="A457" s="3">
        <v>456</v>
      </c>
      <c r="B457" s="4">
        <v>45213</v>
      </c>
      <c r="C457" s="9" t="str">
        <f t="shared" si="14"/>
        <v>October</v>
      </c>
      <c r="D457" s="3" t="s">
        <v>469</v>
      </c>
      <c r="E457" s="3" t="s">
        <v>10</v>
      </c>
      <c r="F457" s="3">
        <v>57</v>
      </c>
      <c r="G457" s="8" t="str" cm="1">
        <f t="array" ref="G457">_xlfn.IFS(
    F457 &lt; 25, "Young",
    F457 &lt;= 40, "Mid-Age",
    F457 &gt; 40, "Old-Age"
)</f>
        <v>Old-Age</v>
      </c>
      <c r="H457" s="3" t="s">
        <v>16</v>
      </c>
      <c r="I457" s="3">
        <v>2</v>
      </c>
      <c r="J457" s="3">
        <v>30</v>
      </c>
      <c r="K457" s="3">
        <v>60</v>
      </c>
      <c r="L457" s="3">
        <f t="shared" si="15"/>
        <v>0.81577137775274877</v>
      </c>
    </row>
    <row r="458" spans="1:12" x14ac:dyDescent="0.3">
      <c r="A458" s="3">
        <v>457</v>
      </c>
      <c r="B458" s="4">
        <v>45135</v>
      </c>
      <c r="C458" s="9" t="str">
        <f t="shared" si="14"/>
        <v>July</v>
      </c>
      <c r="D458" s="3" t="s">
        <v>470</v>
      </c>
      <c r="E458" s="3" t="s">
        <v>13</v>
      </c>
      <c r="F458" s="3">
        <v>58</v>
      </c>
      <c r="G458" s="8" t="str" cm="1">
        <f t="array" ref="G458">_xlfn.IFS(
    F458 &lt; 25, "Young",
    F458 &lt;= 40, "Mid-Age",
    F458 &gt; 40, "Old-Age"
)</f>
        <v>Old-Age</v>
      </c>
      <c r="H458" s="3" t="s">
        <v>11</v>
      </c>
      <c r="I458" s="3">
        <v>3</v>
      </c>
      <c r="J458" s="3">
        <v>300</v>
      </c>
      <c r="K458" s="3">
        <v>900</v>
      </c>
      <c r="L458" s="3">
        <f t="shared" si="15"/>
        <v>0.81293661964129305</v>
      </c>
    </row>
    <row r="459" spans="1:12" x14ac:dyDescent="0.3">
      <c r="A459" s="3">
        <v>458</v>
      </c>
      <c r="B459" s="4">
        <v>45244</v>
      </c>
      <c r="C459" s="9" t="str">
        <f t="shared" si="14"/>
        <v>November</v>
      </c>
      <c r="D459" s="3" t="s">
        <v>471</v>
      </c>
      <c r="E459" s="3" t="s">
        <v>13</v>
      </c>
      <c r="F459" s="3">
        <v>39</v>
      </c>
      <c r="G459" s="8" t="str" cm="1">
        <f t="array" ref="G459">_xlfn.IFS(
    F459 &lt; 25, "Young",
    F459 &lt;= 40, "Mid-Age",
    F459 &gt; 40, "Old-Age"
)</f>
        <v>Mid-Age</v>
      </c>
      <c r="H459" s="3" t="s">
        <v>16</v>
      </c>
      <c r="I459" s="3">
        <v>4</v>
      </c>
      <c r="J459" s="3">
        <v>25</v>
      </c>
      <c r="K459" s="3">
        <v>100</v>
      </c>
      <c r="L459" s="3">
        <f t="shared" si="15"/>
        <v>0.81643305363539875</v>
      </c>
    </row>
    <row r="460" spans="1:12" x14ac:dyDescent="0.3">
      <c r="A460" s="3">
        <v>459</v>
      </c>
      <c r="B460" s="4">
        <v>45006</v>
      </c>
      <c r="C460" s="9" t="str">
        <f t="shared" si="14"/>
        <v>March</v>
      </c>
      <c r="D460" s="3" t="s">
        <v>472</v>
      </c>
      <c r="E460" s="3" t="s">
        <v>10</v>
      </c>
      <c r="F460" s="3">
        <v>28</v>
      </c>
      <c r="G460" s="8" t="str" cm="1">
        <f t="array" ref="G460">_xlfn.IFS(
    F460 &lt; 25, "Young",
    F460 &lt;= 40, "Mid-Age",
    F460 &gt; 40, "Old-Age"
)</f>
        <v>Mid-Age</v>
      </c>
      <c r="H460" s="3" t="s">
        <v>14</v>
      </c>
      <c r="I460" s="3">
        <v>4</v>
      </c>
      <c r="J460" s="3">
        <v>300</v>
      </c>
      <c r="K460" s="3">
        <v>1200</v>
      </c>
      <c r="L460" s="3">
        <f t="shared" si="15"/>
        <v>0.81362239230905198</v>
      </c>
    </row>
    <row r="461" spans="1:12" x14ac:dyDescent="0.3">
      <c r="A461" s="3">
        <v>460</v>
      </c>
      <c r="B461" s="4">
        <v>45048</v>
      </c>
      <c r="C461" s="9" t="str">
        <f t="shared" si="14"/>
        <v>May</v>
      </c>
      <c r="D461" s="3" t="s">
        <v>473</v>
      </c>
      <c r="E461" s="3" t="s">
        <v>10</v>
      </c>
      <c r="F461" s="3">
        <v>40</v>
      </c>
      <c r="G461" s="8" t="str" cm="1">
        <f t="array" ref="G461">_xlfn.IFS(
    F461 &lt; 25, "Young",
    F461 &lt;= 40, "Mid-Age",
    F461 &gt; 40, "Old-Age"
)</f>
        <v>Mid-Age</v>
      </c>
      <c r="H461" s="3" t="s">
        <v>11</v>
      </c>
      <c r="I461" s="3">
        <v>1</v>
      </c>
      <c r="J461" s="3">
        <v>50</v>
      </c>
      <c r="K461" s="3">
        <v>50</v>
      </c>
      <c r="L461" s="3">
        <f t="shared" si="15"/>
        <v>0.81712738816719344</v>
      </c>
    </row>
    <row r="462" spans="1:12" x14ac:dyDescent="0.3">
      <c r="A462" s="3">
        <v>461</v>
      </c>
      <c r="B462" s="4">
        <v>45010</v>
      </c>
      <c r="C462" s="9" t="str">
        <f t="shared" si="14"/>
        <v>March</v>
      </c>
      <c r="D462" s="3" t="s">
        <v>474</v>
      </c>
      <c r="E462" s="3" t="s">
        <v>13</v>
      </c>
      <c r="F462" s="3">
        <v>18</v>
      </c>
      <c r="G462" s="8" t="str" cm="1">
        <f t="array" ref="G462">_xlfn.IFS(
    F462 &lt; 25, "Young",
    F462 &lt;= 40, "Mid-Age",
    F462 &gt; 40, "Old-Age"
)</f>
        <v>Young</v>
      </c>
      <c r="H462" s="3" t="s">
        <v>11</v>
      </c>
      <c r="I462" s="3">
        <v>2</v>
      </c>
      <c r="J462" s="3">
        <v>500</v>
      </c>
      <c r="K462" s="3">
        <v>1000</v>
      </c>
      <c r="L462" s="3">
        <f t="shared" si="15"/>
        <v>0.81422387845585664</v>
      </c>
    </row>
    <row r="463" spans="1:12" x14ac:dyDescent="0.3">
      <c r="A463" s="3">
        <v>462</v>
      </c>
      <c r="B463" s="4">
        <v>45017</v>
      </c>
      <c r="C463" s="9" t="str">
        <f t="shared" si="14"/>
        <v>April</v>
      </c>
      <c r="D463" s="3" t="s">
        <v>475</v>
      </c>
      <c r="E463" s="3" t="s">
        <v>10</v>
      </c>
      <c r="F463" s="3">
        <v>63</v>
      </c>
      <c r="G463" s="8" t="str" cm="1">
        <f t="array" ref="G463">_xlfn.IFS(
    F463 &lt; 25, "Young",
    F463 &lt;= 40, "Mid-Age",
    F463 &gt; 40, "Old-Age"
)</f>
        <v>Old-Age</v>
      </c>
      <c r="H463" s="3" t="s">
        <v>16</v>
      </c>
      <c r="I463" s="3">
        <v>4</v>
      </c>
      <c r="J463" s="3">
        <v>300</v>
      </c>
      <c r="K463" s="3">
        <v>1200</v>
      </c>
      <c r="L463" s="3">
        <f t="shared" si="15"/>
        <v>0.8202119282179422</v>
      </c>
    </row>
    <row r="464" spans="1:12" x14ac:dyDescent="0.3">
      <c r="A464" s="3">
        <v>463</v>
      </c>
      <c r="B464" s="4">
        <v>45138</v>
      </c>
      <c r="C464" s="9" t="str">
        <f t="shared" si="14"/>
        <v>July</v>
      </c>
      <c r="D464" s="3" t="s">
        <v>476</v>
      </c>
      <c r="E464" s="3" t="s">
        <v>13</v>
      </c>
      <c r="F464" s="3">
        <v>54</v>
      </c>
      <c r="G464" s="8" t="str" cm="1">
        <f t="array" ref="G464">_xlfn.IFS(
    F464 &lt; 25, "Young",
    F464 &lt;= 40, "Mid-Age",
    F464 &gt; 40, "Old-Age"
)</f>
        <v>Old-Age</v>
      </c>
      <c r="H464" s="3" t="s">
        <v>11</v>
      </c>
      <c r="I464" s="3">
        <v>3</v>
      </c>
      <c r="J464" s="3">
        <v>500</v>
      </c>
      <c r="K464" s="3">
        <v>1500</v>
      </c>
      <c r="L464" s="3">
        <f t="shared" si="15"/>
        <v>0.82376294654474203</v>
      </c>
    </row>
    <row r="465" spans="1:12" x14ac:dyDescent="0.3">
      <c r="A465" s="3">
        <v>464</v>
      </c>
      <c r="B465" s="4">
        <v>44939</v>
      </c>
      <c r="C465" s="9" t="str">
        <f t="shared" si="14"/>
        <v>January</v>
      </c>
      <c r="D465" s="3" t="s">
        <v>477</v>
      </c>
      <c r="E465" s="3" t="s">
        <v>10</v>
      </c>
      <c r="F465" s="3">
        <v>38</v>
      </c>
      <c r="G465" s="8" t="str" cm="1">
        <f t="array" ref="G465">_xlfn.IFS(
    F465 &lt; 25, "Young",
    F465 &lt;= 40, "Mid-Age",
    F465 &gt; 40, "Old-Age"
)</f>
        <v>Mid-Age</v>
      </c>
      <c r="H465" s="3" t="s">
        <v>16</v>
      </c>
      <c r="I465" s="3">
        <v>2</v>
      </c>
      <c r="J465" s="3">
        <v>300</v>
      </c>
      <c r="K465" s="3">
        <v>600</v>
      </c>
      <c r="L465" s="3">
        <f t="shared" si="15"/>
        <v>0.82982126931191513</v>
      </c>
    </row>
    <row r="466" spans="1:12" x14ac:dyDescent="0.3">
      <c r="A466" s="3">
        <v>465</v>
      </c>
      <c r="B466" s="4">
        <v>45018</v>
      </c>
      <c r="C466" s="9" t="str">
        <f t="shared" si="14"/>
        <v>April</v>
      </c>
      <c r="D466" s="3" t="s">
        <v>478</v>
      </c>
      <c r="E466" s="3" t="s">
        <v>13</v>
      </c>
      <c r="F466" s="3">
        <v>43</v>
      </c>
      <c r="G466" s="8" t="str" cm="1">
        <f t="array" ref="G466">_xlfn.IFS(
    F466 &lt; 25, "Young",
    F466 &lt;= 40, "Mid-Age",
    F466 &gt; 40, "Old-Age"
)</f>
        <v>Old-Age</v>
      </c>
      <c r="H466" s="3" t="s">
        <v>16</v>
      </c>
      <c r="I466" s="3">
        <v>3</v>
      </c>
      <c r="J466" s="3">
        <v>50</v>
      </c>
      <c r="K466" s="3">
        <v>150</v>
      </c>
      <c r="L466" s="3">
        <f t="shared" si="15"/>
        <v>0.83342357176047432</v>
      </c>
    </row>
    <row r="467" spans="1:12" x14ac:dyDescent="0.3">
      <c r="A467" s="3">
        <v>466</v>
      </c>
      <c r="B467" s="4">
        <v>45097</v>
      </c>
      <c r="C467" s="9" t="str">
        <f t="shared" si="14"/>
        <v>June</v>
      </c>
      <c r="D467" s="3" t="s">
        <v>479</v>
      </c>
      <c r="E467" s="3" t="s">
        <v>10</v>
      </c>
      <c r="F467" s="3">
        <v>63</v>
      </c>
      <c r="G467" s="8" t="str" cm="1">
        <f t="array" ref="G467">_xlfn.IFS(
    F467 &lt; 25, "Young",
    F467 &lt;= 40, "Mid-Age",
    F467 &gt; 40, "Old-Age"
)</f>
        <v>Old-Age</v>
      </c>
      <c r="H467" s="3" t="s">
        <v>16</v>
      </c>
      <c r="I467" s="3">
        <v>4</v>
      </c>
      <c r="J467" s="3">
        <v>25</v>
      </c>
      <c r="K467" s="3">
        <v>100</v>
      </c>
      <c r="L467" s="3">
        <f t="shared" si="15"/>
        <v>0.83049857835794494</v>
      </c>
    </row>
    <row r="468" spans="1:12" x14ac:dyDescent="0.3">
      <c r="A468" s="3">
        <v>467</v>
      </c>
      <c r="B468" s="4">
        <v>45137</v>
      </c>
      <c r="C468" s="9" t="str">
        <f t="shared" si="14"/>
        <v>July</v>
      </c>
      <c r="D468" s="3" t="s">
        <v>480</v>
      </c>
      <c r="E468" s="3" t="s">
        <v>13</v>
      </c>
      <c r="F468" s="3">
        <v>53</v>
      </c>
      <c r="G468" s="8" t="str" cm="1">
        <f t="array" ref="G468">_xlfn.IFS(
    F468 &lt; 25, "Young",
    F468 &lt;= 40, "Mid-Age",
    F468 &gt; 40, "Old-Age"
)</f>
        <v>Old-Age</v>
      </c>
      <c r="H468" s="3" t="s">
        <v>16</v>
      </c>
      <c r="I468" s="3">
        <v>3</v>
      </c>
      <c r="J468" s="3">
        <v>50</v>
      </c>
      <c r="K468" s="3">
        <v>150</v>
      </c>
      <c r="L468" s="3">
        <f t="shared" si="15"/>
        <v>0.82764864932307602</v>
      </c>
    </row>
    <row r="469" spans="1:12" x14ac:dyDescent="0.3">
      <c r="A469" s="3">
        <v>468</v>
      </c>
      <c r="B469" s="4">
        <v>45269</v>
      </c>
      <c r="C469" s="9" t="str">
        <f t="shared" si="14"/>
        <v>December</v>
      </c>
      <c r="D469" s="3" t="s">
        <v>481</v>
      </c>
      <c r="E469" s="3" t="s">
        <v>10</v>
      </c>
      <c r="F469" s="3">
        <v>40</v>
      </c>
      <c r="G469" s="8" t="str" cm="1">
        <f t="array" ref="G469">_xlfn.IFS(
    F469 &lt; 25, "Young",
    F469 &lt;= 40, "Mid-Age",
    F469 &gt; 40, "Old-Age"
)</f>
        <v>Mid-Age</v>
      </c>
      <c r="H469" s="3" t="s">
        <v>16</v>
      </c>
      <c r="I469" s="3">
        <v>1</v>
      </c>
      <c r="J469" s="3">
        <v>25</v>
      </c>
      <c r="K469" s="3">
        <v>25</v>
      </c>
      <c r="L469" s="3">
        <f t="shared" si="15"/>
        <v>0.82471071912204374</v>
      </c>
    </row>
    <row r="470" spans="1:12" x14ac:dyDescent="0.3">
      <c r="A470" s="3">
        <v>469</v>
      </c>
      <c r="B470" s="4">
        <v>45054</v>
      </c>
      <c r="C470" s="9" t="str">
        <f t="shared" si="14"/>
        <v>May</v>
      </c>
      <c r="D470" s="3" t="s">
        <v>482</v>
      </c>
      <c r="E470" s="3" t="s">
        <v>10</v>
      </c>
      <c r="F470" s="3">
        <v>18</v>
      </c>
      <c r="G470" s="8" t="str" cm="1">
        <f t="array" ref="G470">_xlfn.IFS(
    F470 &lt; 25, "Young",
    F470 &lt;= 40, "Mid-Age",
    F470 &gt; 40, "Old-Age"
)</f>
        <v>Young</v>
      </c>
      <c r="H470" s="3" t="s">
        <v>11</v>
      </c>
      <c r="I470" s="3">
        <v>3</v>
      </c>
      <c r="J470" s="3">
        <v>25</v>
      </c>
      <c r="K470" s="3">
        <v>75</v>
      </c>
      <c r="L470" s="3">
        <f t="shared" si="15"/>
        <v>0.82184836608019773</v>
      </c>
    </row>
    <row r="471" spans="1:12" x14ac:dyDescent="0.3">
      <c r="A471" s="3">
        <v>470</v>
      </c>
      <c r="B471" s="4">
        <v>45063</v>
      </c>
      <c r="C471" s="9" t="str">
        <f t="shared" si="14"/>
        <v>May</v>
      </c>
      <c r="D471" s="3" t="s">
        <v>483</v>
      </c>
      <c r="E471" s="3" t="s">
        <v>13</v>
      </c>
      <c r="F471" s="3">
        <v>57</v>
      </c>
      <c r="G471" s="8" t="str" cm="1">
        <f t="array" ref="G471">_xlfn.IFS(
    F471 &lt; 25, "Young",
    F471 &lt;= 40, "Mid-Age",
    F471 &gt; 40, "Old-Age"
)</f>
        <v>Old-Age</v>
      </c>
      <c r="H471" s="3" t="s">
        <v>14</v>
      </c>
      <c r="I471" s="3">
        <v>2</v>
      </c>
      <c r="J471" s="3">
        <v>500</v>
      </c>
      <c r="K471" s="3">
        <v>1000</v>
      </c>
      <c r="L471" s="3">
        <f t="shared" si="15"/>
        <v>0.81898007685484564</v>
      </c>
    </row>
    <row r="472" spans="1:12" x14ac:dyDescent="0.3">
      <c r="A472" s="3">
        <v>471</v>
      </c>
      <c r="B472" s="4">
        <v>45008</v>
      </c>
      <c r="C472" s="9" t="str">
        <f t="shared" si="14"/>
        <v>March</v>
      </c>
      <c r="D472" s="3" t="s">
        <v>484</v>
      </c>
      <c r="E472" s="3" t="s">
        <v>10</v>
      </c>
      <c r="F472" s="3">
        <v>32</v>
      </c>
      <c r="G472" s="8" t="str" cm="1">
        <f t="array" ref="G472">_xlfn.IFS(
    F472 &lt; 25, "Young",
    F472 &lt;= 40, "Mid-Age",
    F472 &gt; 40, "Old-Age"
)</f>
        <v>Mid-Age</v>
      </c>
      <c r="H472" s="3" t="s">
        <v>14</v>
      </c>
      <c r="I472" s="3">
        <v>3</v>
      </c>
      <c r="J472" s="3">
        <v>50</v>
      </c>
      <c r="K472" s="3">
        <v>150</v>
      </c>
      <c r="L472" s="3">
        <f t="shared" si="15"/>
        <v>0.8250940175879109</v>
      </c>
    </row>
    <row r="473" spans="1:12" x14ac:dyDescent="0.3">
      <c r="A473" s="3">
        <v>472</v>
      </c>
      <c r="B473" s="4">
        <v>45286</v>
      </c>
      <c r="C473" s="9" t="str">
        <f t="shared" si="14"/>
        <v>December</v>
      </c>
      <c r="D473" s="3" t="s">
        <v>485</v>
      </c>
      <c r="E473" s="3" t="s">
        <v>13</v>
      </c>
      <c r="F473" s="3">
        <v>38</v>
      </c>
      <c r="G473" s="8" t="str" cm="1">
        <f t="array" ref="G473">_xlfn.IFS(
    F473 &lt; 25, "Young",
    F473 &lt;= 40, "Mid-Age",
    F473 &gt; 40, "Old-Age"
)</f>
        <v>Mid-Age</v>
      </c>
      <c r="H473" s="3" t="s">
        <v>11</v>
      </c>
      <c r="I473" s="3">
        <v>3</v>
      </c>
      <c r="J473" s="3">
        <v>300</v>
      </c>
      <c r="K473" s="3">
        <v>900</v>
      </c>
      <c r="L473" s="3">
        <f t="shared" si="15"/>
        <v>0.82213288301651</v>
      </c>
    </row>
    <row r="474" spans="1:12" x14ac:dyDescent="0.3">
      <c r="A474" s="3">
        <v>473</v>
      </c>
      <c r="B474" s="4">
        <v>44982</v>
      </c>
      <c r="C474" s="9" t="str">
        <f t="shared" si="14"/>
        <v>February</v>
      </c>
      <c r="D474" s="3" t="s">
        <v>486</v>
      </c>
      <c r="E474" s="3" t="s">
        <v>10</v>
      </c>
      <c r="F474" s="3">
        <v>64</v>
      </c>
      <c r="G474" s="8" t="str" cm="1">
        <f t="array" ref="G474">_xlfn.IFS(
    F474 &lt; 25, "Young",
    F474 &lt;= 40, "Mid-Age",
    F474 &gt; 40, "Old-Age"
)</f>
        <v>Old-Age</v>
      </c>
      <c r="H474" s="3" t="s">
        <v>11</v>
      </c>
      <c r="I474" s="3">
        <v>1</v>
      </c>
      <c r="J474" s="3">
        <v>50</v>
      </c>
      <c r="K474" s="3">
        <v>50</v>
      </c>
      <c r="L474" s="3">
        <f t="shared" si="15"/>
        <v>0.82575984630317067</v>
      </c>
    </row>
    <row r="475" spans="1:12" x14ac:dyDescent="0.3">
      <c r="A475" s="3">
        <v>474</v>
      </c>
      <c r="B475" s="4">
        <v>45122</v>
      </c>
      <c r="C475" s="9" t="str">
        <f t="shared" si="14"/>
        <v>July</v>
      </c>
      <c r="D475" s="3" t="s">
        <v>487</v>
      </c>
      <c r="E475" s="3" t="s">
        <v>13</v>
      </c>
      <c r="F475" s="3">
        <v>26</v>
      </c>
      <c r="G475" s="8" t="str" cm="1">
        <f t="array" ref="G475">_xlfn.IFS(
    F475 &lt; 25, "Young",
    F475 &lt;= 40, "Mid-Age",
    F475 &gt; 40, "Old-Age"
)</f>
        <v>Mid-Age</v>
      </c>
      <c r="H475" s="3" t="s">
        <v>14</v>
      </c>
      <c r="I475" s="3">
        <v>3</v>
      </c>
      <c r="J475" s="3">
        <v>500</v>
      </c>
      <c r="K475" s="3">
        <v>1500</v>
      </c>
      <c r="L475" s="3">
        <f t="shared" si="15"/>
        <v>0.82278781074519625</v>
      </c>
    </row>
    <row r="476" spans="1:12" x14ac:dyDescent="0.3">
      <c r="A476" s="3">
        <v>475</v>
      </c>
      <c r="B476" s="4">
        <v>44946</v>
      </c>
      <c r="C476" s="9" t="str">
        <f t="shared" si="14"/>
        <v>January</v>
      </c>
      <c r="D476" s="3" t="s">
        <v>488</v>
      </c>
      <c r="E476" s="3" t="s">
        <v>10</v>
      </c>
      <c r="F476" s="3">
        <v>26</v>
      </c>
      <c r="G476" s="8" t="str" cm="1">
        <f t="array" ref="G476">_xlfn.IFS(
    F476 &lt; 25, "Young",
    F476 &lt;= 40, "Mid-Age",
    F476 &gt; 40, "Old-Age"
)</f>
        <v>Mid-Age</v>
      </c>
      <c r="H476" s="3" t="s">
        <v>14</v>
      </c>
      <c r="I476" s="3">
        <v>3</v>
      </c>
      <c r="J476" s="3">
        <v>25</v>
      </c>
      <c r="K476" s="3">
        <v>75</v>
      </c>
      <c r="L476" s="3">
        <f t="shared" si="15"/>
        <v>0.82896787339769284</v>
      </c>
    </row>
    <row r="477" spans="1:12" x14ac:dyDescent="0.3">
      <c r="A477" s="3">
        <v>476</v>
      </c>
      <c r="B477" s="4">
        <v>45167</v>
      </c>
      <c r="C477" s="9" t="str">
        <f t="shared" si="14"/>
        <v>August</v>
      </c>
      <c r="D477" s="3" t="s">
        <v>489</v>
      </c>
      <c r="E477" s="3" t="s">
        <v>13</v>
      </c>
      <c r="F477" s="3">
        <v>27</v>
      </c>
      <c r="G477" s="8" t="str" cm="1">
        <f t="array" ref="G477">_xlfn.IFS(
    F477 &lt; 25, "Young",
    F477 &lt;= 40, "Mid-Age",
    F477 &gt; 40, "Old-Age"
)</f>
        <v>Mid-Age</v>
      </c>
      <c r="H477" s="3" t="s">
        <v>14</v>
      </c>
      <c r="I477" s="3">
        <v>4</v>
      </c>
      <c r="J477" s="3">
        <v>500</v>
      </c>
      <c r="K477" s="3">
        <v>2000</v>
      </c>
      <c r="L477" s="3">
        <f t="shared" si="15"/>
        <v>0.82606892355891015</v>
      </c>
    </row>
    <row r="478" spans="1:12" x14ac:dyDescent="0.3">
      <c r="A478" s="3">
        <v>477</v>
      </c>
      <c r="B478" s="4">
        <v>45040</v>
      </c>
      <c r="C478" s="9" t="str">
        <f t="shared" si="14"/>
        <v>April</v>
      </c>
      <c r="D478" s="3" t="s">
        <v>490</v>
      </c>
      <c r="E478" s="3" t="s">
        <v>10</v>
      </c>
      <c r="F478" s="3">
        <v>43</v>
      </c>
      <c r="G478" s="8" t="str" cm="1">
        <f t="array" ref="G478">_xlfn.IFS(
    F478 &lt; 25, "Young",
    F478 &lt;= 40, "Mid-Age",
    F478 &gt; 40, "Old-Age"
)</f>
        <v>Old-Age</v>
      </c>
      <c r="H478" s="3" t="s">
        <v>14</v>
      </c>
      <c r="I478" s="3">
        <v>4</v>
      </c>
      <c r="J478" s="3">
        <v>30</v>
      </c>
      <c r="K478" s="3">
        <v>120</v>
      </c>
      <c r="L478" s="3">
        <f t="shared" si="15"/>
        <v>0.83228095145151626</v>
      </c>
    </row>
    <row r="479" spans="1:12" x14ac:dyDescent="0.3">
      <c r="A479" s="3">
        <v>478</v>
      </c>
      <c r="B479" s="4">
        <v>45029</v>
      </c>
      <c r="C479" s="9" t="str">
        <f t="shared" si="14"/>
        <v>April</v>
      </c>
      <c r="D479" s="3" t="s">
        <v>491</v>
      </c>
      <c r="E479" s="3" t="s">
        <v>13</v>
      </c>
      <c r="F479" s="3">
        <v>58</v>
      </c>
      <c r="G479" s="8" t="str" cm="1">
        <f t="array" ref="G479">_xlfn.IFS(
    F479 &lt; 25, "Young",
    F479 &lt;= 40, "Mid-Age",
    F479 &gt; 40, "Old-Age"
)</f>
        <v>Old-Age</v>
      </c>
      <c r="H479" s="3" t="s">
        <v>14</v>
      </c>
      <c r="I479" s="3">
        <v>2</v>
      </c>
      <c r="J479" s="3">
        <v>30</v>
      </c>
      <c r="K479" s="3">
        <v>60</v>
      </c>
      <c r="L479" s="3">
        <f t="shared" si="15"/>
        <v>0.82933679812283967</v>
      </c>
    </row>
    <row r="480" spans="1:12" x14ac:dyDescent="0.3">
      <c r="A480" s="3">
        <v>479</v>
      </c>
      <c r="B480" s="4">
        <v>45162</v>
      </c>
      <c r="C480" s="9" t="str">
        <f t="shared" si="14"/>
        <v>August</v>
      </c>
      <c r="D480" s="3" t="s">
        <v>492</v>
      </c>
      <c r="E480" s="3" t="s">
        <v>10</v>
      </c>
      <c r="F480" s="3">
        <v>52</v>
      </c>
      <c r="G480" s="8" t="str" cm="1">
        <f t="array" ref="G480">_xlfn.IFS(
    F480 &lt; 25, "Young",
    F480 &lt;= 40, "Mid-Age",
    F480 &gt; 40, "Old-Age"
)</f>
        <v>Old-Age</v>
      </c>
      <c r="H480" s="3" t="s">
        <v>16</v>
      </c>
      <c r="I480" s="3">
        <v>4</v>
      </c>
      <c r="J480" s="3">
        <v>300</v>
      </c>
      <c r="K480" s="3">
        <v>1200</v>
      </c>
      <c r="L480" s="3">
        <f t="shared" si="15"/>
        <v>0.82638626371184432</v>
      </c>
    </row>
    <row r="481" spans="1:12" x14ac:dyDescent="0.3">
      <c r="A481" s="3">
        <v>480</v>
      </c>
      <c r="B481" s="4">
        <v>45106</v>
      </c>
      <c r="C481" s="9" t="str">
        <f t="shared" si="14"/>
        <v>June</v>
      </c>
      <c r="D481" s="3" t="s">
        <v>493</v>
      </c>
      <c r="E481" s="3" t="s">
        <v>13</v>
      </c>
      <c r="F481" s="3">
        <v>42</v>
      </c>
      <c r="G481" s="8" t="str" cm="1">
        <f t="array" ref="G481">_xlfn.IFS(
    F481 &lt; 25, "Young",
    F481 &lt;= 40, "Mid-Age",
    F481 &gt; 40, "Old-Age"
)</f>
        <v>Old-Age</v>
      </c>
      <c r="H481" s="3" t="s">
        <v>11</v>
      </c>
      <c r="I481" s="3">
        <v>4</v>
      </c>
      <c r="J481" s="3">
        <v>500</v>
      </c>
      <c r="K481" s="3">
        <v>2000</v>
      </c>
      <c r="L481" s="3">
        <f t="shared" si="15"/>
        <v>0.83008674345289191</v>
      </c>
    </row>
    <row r="482" spans="1:12" x14ac:dyDescent="0.3">
      <c r="A482" s="3">
        <v>481</v>
      </c>
      <c r="B482" s="4">
        <v>45083</v>
      </c>
      <c r="C482" s="9" t="str">
        <f t="shared" si="14"/>
        <v>June</v>
      </c>
      <c r="D482" s="3" t="s">
        <v>494</v>
      </c>
      <c r="E482" s="3" t="s">
        <v>13</v>
      </c>
      <c r="F482" s="3">
        <v>43</v>
      </c>
      <c r="G482" s="8" t="str" cm="1">
        <f t="array" ref="G482">_xlfn.IFS(
    F482 &lt; 25, "Young",
    F482 &lt;= 40, "Mid-Age",
    F482 &gt; 40, "Old-Age"
)</f>
        <v>Old-Age</v>
      </c>
      <c r="H482" s="3" t="s">
        <v>16</v>
      </c>
      <c r="I482" s="3">
        <v>4</v>
      </c>
      <c r="J482" s="3">
        <v>300</v>
      </c>
      <c r="K482" s="3">
        <v>1200</v>
      </c>
      <c r="L482" s="3">
        <f t="shared" si="15"/>
        <v>0.83636744776609906</v>
      </c>
    </row>
    <row r="483" spans="1:12" x14ac:dyDescent="0.3">
      <c r="A483" s="3">
        <v>482</v>
      </c>
      <c r="B483" s="4">
        <v>45043</v>
      </c>
      <c r="C483" s="9" t="str">
        <f t="shared" si="14"/>
        <v>April</v>
      </c>
      <c r="D483" s="3" t="s">
        <v>495</v>
      </c>
      <c r="E483" s="3" t="s">
        <v>13</v>
      </c>
      <c r="F483" s="3">
        <v>28</v>
      </c>
      <c r="G483" s="8" t="str" cm="1">
        <f t="array" ref="G483">_xlfn.IFS(
    F483 &lt; 25, "Young",
    F483 &lt;= 40, "Mid-Age",
    F483 &gt; 40, "Old-Age"
)</f>
        <v>Mid-Age</v>
      </c>
      <c r="H483" s="3" t="s">
        <v>14</v>
      </c>
      <c r="I483" s="3">
        <v>4</v>
      </c>
      <c r="J483" s="3">
        <v>300</v>
      </c>
      <c r="K483" s="3">
        <v>1200</v>
      </c>
      <c r="L483" s="3">
        <f t="shared" si="15"/>
        <v>0.84012336634624352</v>
      </c>
    </row>
    <row r="484" spans="1:12" x14ac:dyDescent="0.3">
      <c r="A484" s="3">
        <v>483</v>
      </c>
      <c r="B484" s="4">
        <v>45041</v>
      </c>
      <c r="C484" s="9" t="str">
        <f t="shared" si="14"/>
        <v>April</v>
      </c>
      <c r="D484" s="3" t="s">
        <v>496</v>
      </c>
      <c r="E484" s="3" t="s">
        <v>10</v>
      </c>
      <c r="F484" s="3">
        <v>55</v>
      </c>
      <c r="G484" s="8" t="str" cm="1">
        <f t="array" ref="G484">_xlfn.IFS(
    F484 &lt; 25, "Young",
    F484 &lt;= 40, "Mid-Age",
    F484 &gt; 40, "Old-Age"
)</f>
        <v>Old-Age</v>
      </c>
      <c r="H484" s="3" t="s">
        <v>14</v>
      </c>
      <c r="I484" s="3">
        <v>1</v>
      </c>
      <c r="J484" s="3">
        <v>30</v>
      </c>
      <c r="K484" s="3">
        <v>30</v>
      </c>
      <c r="L484" s="3">
        <f t="shared" si="15"/>
        <v>0.84389460518296455</v>
      </c>
    </row>
    <row r="485" spans="1:12" x14ac:dyDescent="0.3">
      <c r="A485" s="3">
        <v>484</v>
      </c>
      <c r="B485" s="4">
        <v>44939</v>
      </c>
      <c r="C485" s="9" t="str">
        <f t="shared" si="14"/>
        <v>January</v>
      </c>
      <c r="D485" s="3" t="s">
        <v>497</v>
      </c>
      <c r="E485" s="3" t="s">
        <v>13</v>
      </c>
      <c r="F485" s="3">
        <v>19</v>
      </c>
      <c r="G485" s="8" t="str" cm="1">
        <f t="array" ref="G485">_xlfn.IFS(
    F485 &lt; 25, "Young",
    F485 &lt;= 40, "Mid-Age",
    F485 &gt; 40, "Old-Age"
)</f>
        <v>Young</v>
      </c>
      <c r="H485" s="3" t="s">
        <v>14</v>
      </c>
      <c r="I485" s="3">
        <v>4</v>
      </c>
      <c r="J485" s="3">
        <v>300</v>
      </c>
      <c r="K485" s="3">
        <v>1200</v>
      </c>
      <c r="L485" s="3">
        <f t="shared" si="15"/>
        <v>0.84091880527547047</v>
      </c>
    </row>
    <row r="486" spans="1:12" x14ac:dyDescent="0.3">
      <c r="A486" s="3">
        <v>485</v>
      </c>
      <c r="B486" s="4">
        <v>45264</v>
      </c>
      <c r="C486" s="9" t="str">
        <f t="shared" si="14"/>
        <v>December</v>
      </c>
      <c r="D486" s="3" t="s">
        <v>498</v>
      </c>
      <c r="E486" s="3" t="s">
        <v>10</v>
      </c>
      <c r="F486" s="3">
        <v>24</v>
      </c>
      <c r="G486" s="8" t="str" cm="1">
        <f t="array" ref="G486">_xlfn.IFS(
    F486 &lt; 25, "Young",
    F486 &lt;= 40, "Mid-Age",
    F486 &gt; 40, "Old-Age"
)</f>
        <v>Young</v>
      </c>
      <c r="H486" s="3" t="s">
        <v>16</v>
      </c>
      <c r="I486" s="3">
        <v>1</v>
      </c>
      <c r="J486" s="3">
        <v>30</v>
      </c>
      <c r="K486" s="3">
        <v>30</v>
      </c>
      <c r="L486" s="3">
        <f t="shared" si="15"/>
        <v>0.84470029615925402</v>
      </c>
    </row>
    <row r="487" spans="1:12" x14ac:dyDescent="0.3">
      <c r="A487" s="3">
        <v>486</v>
      </c>
      <c r="B487" s="4">
        <v>45025</v>
      </c>
      <c r="C487" s="9" t="str">
        <f t="shared" si="14"/>
        <v>April</v>
      </c>
      <c r="D487" s="3" t="s">
        <v>499</v>
      </c>
      <c r="E487" s="3" t="s">
        <v>13</v>
      </c>
      <c r="F487" s="3">
        <v>35</v>
      </c>
      <c r="G487" s="8" t="str" cm="1">
        <f t="array" ref="G487">_xlfn.IFS(
    F487 &lt; 25, "Young",
    F487 &lt;= 40, "Mid-Age",
    F487 &gt; 40, "Old-Age"
)</f>
        <v>Mid-Age</v>
      </c>
      <c r="H487" s="3" t="s">
        <v>16</v>
      </c>
      <c r="I487" s="3">
        <v>1</v>
      </c>
      <c r="J487" s="3">
        <v>25</v>
      </c>
      <c r="K487" s="3">
        <v>25</v>
      </c>
      <c r="L487" s="3">
        <f t="shared" si="15"/>
        <v>0.84171280050188457</v>
      </c>
    </row>
    <row r="488" spans="1:12" x14ac:dyDescent="0.3">
      <c r="A488" s="3">
        <v>487</v>
      </c>
      <c r="B488" s="4">
        <v>45131</v>
      </c>
      <c r="C488" s="9" t="str">
        <f t="shared" si="14"/>
        <v>July</v>
      </c>
      <c r="D488" s="3" t="s">
        <v>500</v>
      </c>
      <c r="E488" s="3" t="s">
        <v>10</v>
      </c>
      <c r="F488" s="3">
        <v>44</v>
      </c>
      <c r="G488" s="8" t="str" cm="1">
        <f t="array" ref="G488">_xlfn.IFS(
    F488 &lt; 25, "Young",
    F488 &lt;= 40, "Mid-Age",
    F488 &gt; 40, "Old-Age"
)</f>
        <v>Old-Age</v>
      </c>
      <c r="H488" s="3" t="s">
        <v>14</v>
      </c>
      <c r="I488" s="3">
        <v>4</v>
      </c>
      <c r="J488" s="3">
        <v>500</v>
      </c>
      <c r="K488" s="3">
        <v>2000</v>
      </c>
      <c r="L488" s="3">
        <f t="shared" si="15"/>
        <v>0.8387548331909247</v>
      </c>
    </row>
    <row r="489" spans="1:12" x14ac:dyDescent="0.3">
      <c r="A489" s="3">
        <v>488</v>
      </c>
      <c r="B489" s="4">
        <v>45095</v>
      </c>
      <c r="C489" s="9" t="str">
        <f t="shared" si="14"/>
        <v>June</v>
      </c>
      <c r="D489" s="3" t="s">
        <v>501</v>
      </c>
      <c r="E489" s="3" t="s">
        <v>13</v>
      </c>
      <c r="F489" s="3">
        <v>51</v>
      </c>
      <c r="G489" s="8" t="str" cm="1">
        <f t="array" ref="G489">_xlfn.IFS(
    F489 &lt; 25, "Young",
    F489 &lt;= 40, "Mid-Age",
    F489 &gt; 40, "Old-Age"
)</f>
        <v>Old-Age</v>
      </c>
      <c r="H489" s="3" t="s">
        <v>16</v>
      </c>
      <c r="I489" s="3">
        <v>3</v>
      </c>
      <c r="J489" s="3">
        <v>300</v>
      </c>
      <c r="K489" s="3">
        <v>900</v>
      </c>
      <c r="L489" s="3">
        <f t="shared" si="15"/>
        <v>0.84518549466265658</v>
      </c>
    </row>
    <row r="490" spans="1:12" x14ac:dyDescent="0.3">
      <c r="A490" s="3">
        <v>489</v>
      </c>
      <c r="B490" s="4">
        <v>45069</v>
      </c>
      <c r="C490" s="9" t="str">
        <f t="shared" si="14"/>
        <v>May</v>
      </c>
      <c r="D490" s="3" t="s">
        <v>502</v>
      </c>
      <c r="E490" s="3" t="s">
        <v>10</v>
      </c>
      <c r="F490" s="3">
        <v>44</v>
      </c>
      <c r="G490" s="8" t="str" cm="1">
        <f t="array" ref="G490">_xlfn.IFS(
    F490 &lt; 25, "Young",
    F490 &lt;= 40, "Mid-Age",
    F490 &gt; 40, "Old-Age"
)</f>
        <v>Old-Age</v>
      </c>
      <c r="H490" s="3" t="s">
        <v>16</v>
      </c>
      <c r="I490" s="3">
        <v>1</v>
      </c>
      <c r="J490" s="3">
        <v>30</v>
      </c>
      <c r="K490" s="3">
        <v>30</v>
      </c>
      <c r="L490" s="3">
        <f t="shared" si="15"/>
        <v>0.84901389688134987</v>
      </c>
    </row>
    <row r="491" spans="1:12" x14ac:dyDescent="0.3">
      <c r="A491" s="3">
        <v>490</v>
      </c>
      <c r="B491" s="4">
        <v>44962</v>
      </c>
      <c r="C491" s="9" t="str">
        <f t="shared" si="14"/>
        <v>February</v>
      </c>
      <c r="D491" s="3" t="s">
        <v>503</v>
      </c>
      <c r="E491" s="3" t="s">
        <v>10</v>
      </c>
      <c r="F491" s="3">
        <v>34</v>
      </c>
      <c r="G491" s="8" t="str" cm="1">
        <f t="array" ref="G491">_xlfn.IFS(
    F491 &lt; 25, "Young",
    F491 &lt;= 40, "Mid-Age",
    F491 &gt; 40, "Old-Age"
)</f>
        <v>Mid-Age</v>
      </c>
      <c r="H491" s="3" t="s">
        <v>14</v>
      </c>
      <c r="I491" s="3">
        <v>3</v>
      </c>
      <c r="J491" s="3">
        <v>50</v>
      </c>
      <c r="K491" s="3">
        <v>150</v>
      </c>
      <c r="L491" s="3">
        <f t="shared" si="15"/>
        <v>0.84600448236356274</v>
      </c>
    </row>
    <row r="492" spans="1:12" x14ac:dyDescent="0.3">
      <c r="A492" s="3">
        <v>491</v>
      </c>
      <c r="B492" s="4">
        <v>45069</v>
      </c>
      <c r="C492" s="9" t="str">
        <f t="shared" si="14"/>
        <v>May</v>
      </c>
      <c r="D492" s="3" t="s">
        <v>504</v>
      </c>
      <c r="E492" s="3" t="s">
        <v>13</v>
      </c>
      <c r="F492" s="3">
        <v>60</v>
      </c>
      <c r="G492" s="8" t="str" cm="1">
        <f t="array" ref="G492">_xlfn.IFS(
    F492 &lt; 25, "Young",
    F492 &lt;= 40, "Mid-Age",
    F492 &gt; 40, "Old-Age"
)</f>
        <v>Old-Age</v>
      </c>
      <c r="H492" s="3" t="s">
        <v>16</v>
      </c>
      <c r="I492" s="3">
        <v>3</v>
      </c>
      <c r="J492" s="3">
        <v>300</v>
      </c>
      <c r="K492" s="3">
        <v>900</v>
      </c>
      <c r="L492" s="3">
        <f t="shared" si="15"/>
        <v>0.84294033051127959</v>
      </c>
    </row>
    <row r="493" spans="1:12" x14ac:dyDescent="0.3">
      <c r="A493" s="3">
        <v>492</v>
      </c>
      <c r="B493" s="4">
        <v>45106</v>
      </c>
      <c r="C493" s="9" t="str">
        <f t="shared" si="14"/>
        <v>June</v>
      </c>
      <c r="D493" s="3" t="s">
        <v>505</v>
      </c>
      <c r="E493" s="3" t="s">
        <v>10</v>
      </c>
      <c r="F493" s="3">
        <v>61</v>
      </c>
      <c r="G493" s="8" t="str" cm="1">
        <f t="array" ref="G493">_xlfn.IFS(
    F493 &lt; 25, "Young",
    F493 &lt;= 40, "Mid-Age",
    F493 &gt; 40, "Old-Age"
)</f>
        <v>Old-Age</v>
      </c>
      <c r="H493" s="3" t="s">
        <v>11</v>
      </c>
      <c r="I493" s="3">
        <v>4</v>
      </c>
      <c r="J493" s="3">
        <v>25</v>
      </c>
      <c r="K493" s="3">
        <v>100</v>
      </c>
      <c r="L493" s="3">
        <f t="shared" si="15"/>
        <v>0.84677465051957845</v>
      </c>
    </row>
    <row r="494" spans="1:12" x14ac:dyDescent="0.3">
      <c r="A494" s="3">
        <v>493</v>
      </c>
      <c r="B494" s="4">
        <v>45255</v>
      </c>
      <c r="C494" s="9" t="str">
        <f t="shared" si="14"/>
        <v>November</v>
      </c>
      <c r="D494" s="3" t="s">
        <v>506</v>
      </c>
      <c r="E494" s="3" t="s">
        <v>10</v>
      </c>
      <c r="F494" s="3">
        <v>41</v>
      </c>
      <c r="G494" s="8" t="str" cm="1">
        <f t="array" ref="G494">_xlfn.IFS(
    F494 &lt; 25, "Young",
    F494 &lt;= 40, "Mid-Age",
    F494 &gt; 40, "Old-Age"
)</f>
        <v>Old-Age</v>
      </c>
      <c r="H494" s="3" t="s">
        <v>11</v>
      </c>
      <c r="I494" s="3">
        <v>2</v>
      </c>
      <c r="J494" s="3">
        <v>25</v>
      </c>
      <c r="K494" s="3">
        <v>50</v>
      </c>
      <c r="L494" s="3">
        <f t="shared" si="15"/>
        <v>0.84378246170848148</v>
      </c>
    </row>
    <row r="495" spans="1:12" x14ac:dyDescent="0.3">
      <c r="A495" s="3">
        <v>494</v>
      </c>
      <c r="B495" s="4">
        <v>45187</v>
      </c>
      <c r="C495" s="9" t="str">
        <f t="shared" si="14"/>
        <v>September</v>
      </c>
      <c r="D495" s="3" t="s">
        <v>507</v>
      </c>
      <c r="E495" s="3" t="s">
        <v>13</v>
      </c>
      <c r="F495" s="3">
        <v>42</v>
      </c>
      <c r="G495" s="8" t="str" cm="1">
        <f t="array" ref="G495">_xlfn.IFS(
    F495 &lt; 25, "Young",
    F495 &lt;= 40, "Mid-Age",
    F495 &gt; 40, "Old-Age"
)</f>
        <v>Old-Age</v>
      </c>
      <c r="H495" s="3" t="s">
        <v>11</v>
      </c>
      <c r="I495" s="3">
        <v>4</v>
      </c>
      <c r="J495" s="3">
        <v>50</v>
      </c>
      <c r="K495" s="3">
        <v>200</v>
      </c>
      <c r="L495" s="3">
        <f t="shared" si="15"/>
        <v>0.84078383595087036</v>
      </c>
    </row>
    <row r="496" spans="1:12" x14ac:dyDescent="0.3">
      <c r="A496" s="3">
        <v>495</v>
      </c>
      <c r="B496" s="4">
        <v>45131</v>
      </c>
      <c r="C496" s="9" t="str">
        <f t="shared" si="14"/>
        <v>July</v>
      </c>
      <c r="D496" s="3" t="s">
        <v>508</v>
      </c>
      <c r="E496" s="3" t="s">
        <v>10</v>
      </c>
      <c r="F496" s="3">
        <v>24</v>
      </c>
      <c r="G496" s="8" t="str" cm="1">
        <f t="array" ref="G496">_xlfn.IFS(
    F496 &lt; 25, "Young",
    F496 &lt;= 40, "Mid-Age",
    F496 &gt; 40, "Old-Age"
)</f>
        <v>Young</v>
      </c>
      <c r="H496" s="3" t="s">
        <v>11</v>
      </c>
      <c r="I496" s="3">
        <v>2</v>
      </c>
      <c r="J496" s="3">
        <v>30</v>
      </c>
      <c r="K496" s="3">
        <v>60</v>
      </c>
      <c r="L496" s="3">
        <f t="shared" si="15"/>
        <v>0.83769368783545428</v>
      </c>
    </row>
    <row r="497" spans="1:12" x14ac:dyDescent="0.3">
      <c r="A497" s="3">
        <v>496</v>
      </c>
      <c r="B497" s="4">
        <v>45274</v>
      </c>
      <c r="C497" s="9" t="str">
        <f t="shared" si="14"/>
        <v>December</v>
      </c>
      <c r="D497" s="3" t="s">
        <v>509</v>
      </c>
      <c r="E497" s="3" t="s">
        <v>10</v>
      </c>
      <c r="F497" s="3">
        <v>23</v>
      </c>
      <c r="G497" s="8" t="str" cm="1">
        <f t="array" ref="G497">_xlfn.IFS(
    F497 &lt; 25, "Young",
    F497 &lt;= 40, "Mid-Age",
    F497 &gt; 40, "Old-Age"
)</f>
        <v>Young</v>
      </c>
      <c r="H497" s="3" t="s">
        <v>14</v>
      </c>
      <c r="I497" s="3">
        <v>2</v>
      </c>
      <c r="J497" s="3">
        <v>300</v>
      </c>
      <c r="K497" s="3">
        <v>600</v>
      </c>
      <c r="L497" s="3">
        <f t="shared" si="15"/>
        <v>0.83464478078813653</v>
      </c>
    </row>
    <row r="498" spans="1:12" x14ac:dyDescent="0.3">
      <c r="A498" s="3">
        <v>497</v>
      </c>
      <c r="B498" s="4">
        <v>45201</v>
      </c>
      <c r="C498" s="9" t="str">
        <f t="shared" si="14"/>
        <v>October</v>
      </c>
      <c r="D498" s="3" t="s">
        <v>510</v>
      </c>
      <c r="E498" s="3" t="s">
        <v>10</v>
      </c>
      <c r="F498" s="3">
        <v>41</v>
      </c>
      <c r="G498" s="8" t="str" cm="1">
        <f t="array" ref="G498">_xlfn.IFS(
    F498 &lt; 25, "Young",
    F498 &lt;= 40, "Mid-Age",
    F498 &gt; 40, "Old-Age"
)</f>
        <v>Old-Age</v>
      </c>
      <c r="H498" s="3" t="s">
        <v>14</v>
      </c>
      <c r="I498" s="3">
        <v>4</v>
      </c>
      <c r="J498" s="3">
        <v>30</v>
      </c>
      <c r="K498" s="3">
        <v>120</v>
      </c>
      <c r="L498" s="3">
        <f t="shared" si="15"/>
        <v>0.83847384293252791</v>
      </c>
    </row>
    <row r="499" spans="1:12" x14ac:dyDescent="0.3">
      <c r="A499" s="3">
        <v>498</v>
      </c>
      <c r="B499" s="4">
        <v>45096</v>
      </c>
      <c r="C499" s="9" t="str">
        <f t="shared" si="14"/>
        <v>June</v>
      </c>
      <c r="D499" s="3" t="s">
        <v>511</v>
      </c>
      <c r="E499" s="3" t="s">
        <v>13</v>
      </c>
      <c r="F499" s="3">
        <v>50</v>
      </c>
      <c r="G499" s="8" t="str" cm="1">
        <f t="array" ref="G499">_xlfn.IFS(
    F499 &lt; 25, "Young",
    F499 &lt;= 40, "Mid-Age",
    F499 &gt; 40, "Old-Age"
)</f>
        <v>Old-Age</v>
      </c>
      <c r="H499" s="3" t="s">
        <v>14</v>
      </c>
      <c r="I499" s="3">
        <v>4</v>
      </c>
      <c r="J499" s="3">
        <v>25</v>
      </c>
      <c r="K499" s="3">
        <v>100</v>
      </c>
      <c r="L499" s="3">
        <f t="shared" si="15"/>
        <v>0.83541265497073558</v>
      </c>
    </row>
    <row r="500" spans="1:12" x14ac:dyDescent="0.3">
      <c r="A500" s="3">
        <v>499</v>
      </c>
      <c r="B500" s="4">
        <v>44941</v>
      </c>
      <c r="C500" s="9" t="str">
        <f t="shared" si="14"/>
        <v>January</v>
      </c>
      <c r="D500" s="3" t="s">
        <v>512</v>
      </c>
      <c r="E500" s="3" t="s">
        <v>10</v>
      </c>
      <c r="F500" s="3">
        <v>46</v>
      </c>
      <c r="G500" s="8" t="str" cm="1">
        <f t="array" ref="G500">_xlfn.IFS(
    F500 &lt; 25, "Young",
    F500 &lt;= 40, "Mid-Age",
    F500 &gt; 40, "Old-Age"
)</f>
        <v>Old-Age</v>
      </c>
      <c r="H500" s="3" t="s">
        <v>11</v>
      </c>
      <c r="I500" s="3">
        <v>2</v>
      </c>
      <c r="J500" s="3">
        <v>30</v>
      </c>
      <c r="K500" s="3">
        <v>60</v>
      </c>
      <c r="L500" s="3">
        <f t="shared" si="15"/>
        <v>0.83238127167443954</v>
      </c>
    </row>
    <row r="501" spans="1:12" x14ac:dyDescent="0.3">
      <c r="A501" s="3">
        <v>500</v>
      </c>
      <c r="B501" s="4">
        <v>44986</v>
      </c>
      <c r="C501" s="9" t="str">
        <f t="shared" si="14"/>
        <v>March</v>
      </c>
      <c r="D501" s="3" t="s">
        <v>513</v>
      </c>
      <c r="E501" s="3" t="s">
        <v>13</v>
      </c>
      <c r="F501" s="3">
        <v>60</v>
      </c>
      <c r="G501" s="8" t="str" cm="1">
        <f t="array" ref="G501">_xlfn.IFS(
    F501 &lt; 25, "Young",
    F501 &lt;= 40, "Mid-Age",
    F501 &gt; 40, "Old-Age"
)</f>
        <v>Old-Age</v>
      </c>
      <c r="H501" s="3" t="s">
        <v>11</v>
      </c>
      <c r="I501" s="3">
        <v>4</v>
      </c>
      <c r="J501" s="3">
        <v>25</v>
      </c>
      <c r="K501" s="3">
        <v>100</v>
      </c>
      <c r="L501" s="3">
        <f t="shared" si="15"/>
        <v>0.82930639303132514</v>
      </c>
    </row>
    <row r="502" spans="1:12" x14ac:dyDescent="0.3">
      <c r="A502" s="3">
        <v>501</v>
      </c>
      <c r="B502" s="4">
        <v>45060</v>
      </c>
      <c r="C502" s="9" t="str">
        <f t="shared" si="14"/>
        <v>May</v>
      </c>
      <c r="D502" s="3" t="s">
        <v>514</v>
      </c>
      <c r="E502" s="3" t="s">
        <v>10</v>
      </c>
      <c r="F502" s="3">
        <v>39</v>
      </c>
      <c r="G502" s="8" t="str" cm="1">
        <f t="array" ref="G502">_xlfn.IFS(
    F502 &lt; 25, "Young",
    F502 &lt;= 40, "Mid-Age",
    F502 &gt; 40, "Old-Age"
)</f>
        <v>Mid-Age</v>
      </c>
      <c r="H502" s="3" t="s">
        <v>16</v>
      </c>
      <c r="I502" s="3">
        <v>2</v>
      </c>
      <c r="J502" s="3">
        <v>30</v>
      </c>
      <c r="K502" s="3">
        <v>60</v>
      </c>
      <c r="L502" s="3">
        <f t="shared" si="15"/>
        <v>0.82626153376084488</v>
      </c>
    </row>
    <row r="503" spans="1:12" x14ac:dyDescent="0.3">
      <c r="A503" s="3">
        <v>502</v>
      </c>
      <c r="B503" s="4">
        <v>45018</v>
      </c>
      <c r="C503" s="9" t="str">
        <f t="shared" si="14"/>
        <v>April</v>
      </c>
      <c r="D503" s="3" t="s">
        <v>515</v>
      </c>
      <c r="E503" s="3" t="s">
        <v>10</v>
      </c>
      <c r="F503" s="3">
        <v>43</v>
      </c>
      <c r="G503" s="8" t="str" cm="1">
        <f t="array" ref="G503">_xlfn.IFS(
    F503 &lt; 25, "Young",
    F503 &lt;= 40, "Mid-Age",
    F503 &gt; 40, "Old-Age"
)</f>
        <v>Old-Age</v>
      </c>
      <c r="H503" s="3" t="s">
        <v>16</v>
      </c>
      <c r="I503" s="3">
        <v>3</v>
      </c>
      <c r="J503" s="3">
        <v>50</v>
      </c>
      <c r="K503" s="3">
        <v>150</v>
      </c>
      <c r="L503" s="3">
        <f t="shared" si="15"/>
        <v>0.82317281081656624</v>
      </c>
    </row>
    <row r="504" spans="1:12" x14ac:dyDescent="0.3">
      <c r="A504" s="3">
        <v>503</v>
      </c>
      <c r="B504" s="4">
        <v>45224</v>
      </c>
      <c r="C504" s="9" t="str">
        <f t="shared" si="14"/>
        <v>October</v>
      </c>
      <c r="D504" s="3" t="s">
        <v>516</v>
      </c>
      <c r="E504" s="3" t="s">
        <v>10</v>
      </c>
      <c r="F504" s="3">
        <v>45</v>
      </c>
      <c r="G504" s="8" t="str" cm="1">
        <f t="array" ref="G504">_xlfn.IFS(
    F504 &lt; 25, "Young",
    F504 &lt;= 40, "Mid-Age",
    F504 &gt; 40, "Old-Age"
)</f>
        <v>Old-Age</v>
      </c>
      <c r="H504" s="3" t="s">
        <v>11</v>
      </c>
      <c r="I504" s="3">
        <v>4</v>
      </c>
      <c r="J504" s="3">
        <v>500</v>
      </c>
      <c r="K504" s="3">
        <v>2000</v>
      </c>
      <c r="L504" s="3">
        <f t="shared" si="15"/>
        <v>0.8200265400857405</v>
      </c>
    </row>
    <row r="505" spans="1:12" x14ac:dyDescent="0.3">
      <c r="A505" s="3">
        <v>504</v>
      </c>
      <c r="B505" s="4">
        <v>45062</v>
      </c>
      <c r="C505" s="9" t="str">
        <f t="shared" si="14"/>
        <v>May</v>
      </c>
      <c r="D505" s="3" t="s">
        <v>517</v>
      </c>
      <c r="E505" s="3" t="s">
        <v>13</v>
      </c>
      <c r="F505" s="3">
        <v>38</v>
      </c>
      <c r="G505" s="8" t="str" cm="1">
        <f t="array" ref="G505">_xlfn.IFS(
    F505 &lt; 25, "Young",
    F505 &lt;= 40, "Mid-Age",
    F505 &gt; 40, "Old-Age"
)</f>
        <v>Mid-Age</v>
      </c>
      <c r="H505" s="3" t="s">
        <v>11</v>
      </c>
      <c r="I505" s="3">
        <v>3</v>
      </c>
      <c r="J505" s="3">
        <v>50</v>
      </c>
      <c r="K505" s="3">
        <v>150</v>
      </c>
      <c r="L505" s="3">
        <f t="shared" si="15"/>
        <v>0.82657967967337331</v>
      </c>
    </row>
    <row r="506" spans="1:12" x14ac:dyDescent="0.3">
      <c r="A506" s="3">
        <v>505</v>
      </c>
      <c r="B506" s="4">
        <v>44946</v>
      </c>
      <c r="C506" s="9" t="str">
        <f t="shared" si="14"/>
        <v>January</v>
      </c>
      <c r="D506" s="3" t="s">
        <v>518</v>
      </c>
      <c r="E506" s="3" t="s">
        <v>10</v>
      </c>
      <c r="F506" s="3">
        <v>24</v>
      </c>
      <c r="G506" s="8" t="str" cm="1">
        <f t="array" ref="G506">_xlfn.IFS(
    F506 &lt; 25, "Young",
    F506 &lt;= 40, "Mid-Age",
    F506 &gt; 40, "Old-Age"
)</f>
        <v>Young</v>
      </c>
      <c r="H506" s="3" t="s">
        <v>11</v>
      </c>
      <c r="I506" s="3">
        <v>1</v>
      </c>
      <c r="J506" s="3">
        <v>50</v>
      </c>
      <c r="K506" s="3">
        <v>50</v>
      </c>
      <c r="L506" s="3">
        <f t="shared" si="15"/>
        <v>0.82342197382603133</v>
      </c>
    </row>
    <row r="507" spans="1:12" x14ac:dyDescent="0.3">
      <c r="A507" s="3">
        <v>506</v>
      </c>
      <c r="B507" s="4">
        <v>44982</v>
      </c>
      <c r="C507" s="9" t="str">
        <f t="shared" si="14"/>
        <v>February</v>
      </c>
      <c r="D507" s="3" t="s">
        <v>519</v>
      </c>
      <c r="E507" s="3" t="s">
        <v>10</v>
      </c>
      <c r="F507" s="3">
        <v>34</v>
      </c>
      <c r="G507" s="8" t="str" cm="1">
        <f t="array" ref="G507">_xlfn.IFS(
    F507 &lt; 25, "Young",
    F507 &lt;= 40, "Mid-Age",
    F507 &gt; 40, "Old-Age"
)</f>
        <v>Mid-Age</v>
      </c>
      <c r="H507" s="3" t="s">
        <v>11</v>
      </c>
      <c r="I507" s="3">
        <v>3</v>
      </c>
      <c r="J507" s="3">
        <v>500</v>
      </c>
      <c r="K507" s="3">
        <v>1500</v>
      </c>
      <c r="L507" s="3">
        <f t="shared" si="15"/>
        <v>0.8202567613722711</v>
      </c>
    </row>
    <row r="508" spans="1:12" x14ac:dyDescent="0.3">
      <c r="A508" s="3">
        <v>507</v>
      </c>
      <c r="B508" s="4">
        <v>45232</v>
      </c>
      <c r="C508" s="9" t="str">
        <f t="shared" si="14"/>
        <v>November</v>
      </c>
      <c r="D508" s="3" t="s">
        <v>520</v>
      </c>
      <c r="E508" s="3" t="s">
        <v>13</v>
      </c>
      <c r="F508" s="3">
        <v>37</v>
      </c>
      <c r="G508" s="8" t="str" cm="1">
        <f t="array" ref="G508">_xlfn.IFS(
    F508 &lt; 25, "Young",
    F508 &lt;= 40, "Mid-Age",
    F508 &gt; 40, "Old-Age"
)</f>
        <v>Mid-Age</v>
      </c>
      <c r="H508" s="3" t="s">
        <v>16</v>
      </c>
      <c r="I508" s="3">
        <v>3</v>
      </c>
      <c r="J508" s="3">
        <v>500</v>
      </c>
      <c r="K508" s="3">
        <v>1500</v>
      </c>
      <c r="L508" s="3">
        <f t="shared" si="15"/>
        <v>0.82684195660654625</v>
      </c>
    </row>
    <row r="509" spans="1:12" x14ac:dyDescent="0.3">
      <c r="A509" s="3">
        <v>508</v>
      </c>
      <c r="B509" s="4">
        <v>45149</v>
      </c>
      <c r="C509" s="9" t="str">
        <f t="shared" si="14"/>
        <v>August</v>
      </c>
      <c r="D509" s="3" t="s">
        <v>521</v>
      </c>
      <c r="E509" s="3" t="s">
        <v>10</v>
      </c>
      <c r="F509" s="3">
        <v>58</v>
      </c>
      <c r="G509" s="8" t="str" cm="1">
        <f t="array" ref="G509">_xlfn.IFS(
    F509 &lt; 25, "Young",
    F509 &lt;= 40, "Mid-Age",
    F509 &gt; 40, "Old-Age"
)</f>
        <v>Old-Age</v>
      </c>
      <c r="H509" s="3" t="s">
        <v>11</v>
      </c>
      <c r="I509" s="3">
        <v>2</v>
      </c>
      <c r="J509" s="3">
        <v>300</v>
      </c>
      <c r="K509" s="3">
        <v>600</v>
      </c>
      <c r="L509" s="3">
        <f t="shared" si="15"/>
        <v>0.83346745831878533</v>
      </c>
    </row>
    <row r="510" spans="1:12" x14ac:dyDescent="0.3">
      <c r="A510" s="3">
        <v>509</v>
      </c>
      <c r="B510" s="4">
        <v>45103</v>
      </c>
      <c r="C510" s="9" t="str">
        <f t="shared" si="14"/>
        <v>June</v>
      </c>
      <c r="D510" s="3" t="s">
        <v>522</v>
      </c>
      <c r="E510" s="3" t="s">
        <v>13</v>
      </c>
      <c r="F510" s="3">
        <v>37</v>
      </c>
      <c r="G510" s="8" t="str" cm="1">
        <f t="array" ref="G510">_xlfn.IFS(
    F510 &lt; 25, "Young",
    F510 &lt;= 40, "Mid-Age",
    F510 &gt; 40, "Old-Age"
)</f>
        <v>Mid-Age</v>
      </c>
      <c r="H510" s="3" t="s">
        <v>16</v>
      </c>
      <c r="I510" s="3">
        <v>3</v>
      </c>
      <c r="J510" s="3">
        <v>300</v>
      </c>
      <c r="K510" s="3">
        <v>900</v>
      </c>
      <c r="L510" s="3">
        <f t="shared" si="15"/>
        <v>0.83740185210380025</v>
      </c>
    </row>
    <row r="511" spans="1:12" x14ac:dyDescent="0.3">
      <c r="A511" s="3">
        <v>510</v>
      </c>
      <c r="B511" s="4">
        <v>45087</v>
      </c>
      <c r="C511" s="9" t="str">
        <f t="shared" si="14"/>
        <v>June</v>
      </c>
      <c r="D511" s="3" t="s">
        <v>523</v>
      </c>
      <c r="E511" s="3" t="s">
        <v>13</v>
      </c>
      <c r="F511" s="3">
        <v>39</v>
      </c>
      <c r="G511" s="8" t="str" cm="1">
        <f t="array" ref="G511">_xlfn.IFS(
    F511 &lt; 25, "Young",
    F511 &lt;= 40, "Mid-Age",
    F511 &gt; 40, "Old-Age"
)</f>
        <v>Mid-Age</v>
      </c>
      <c r="H511" s="3" t="s">
        <v>11</v>
      </c>
      <c r="I511" s="3">
        <v>4</v>
      </c>
      <c r="J511" s="3">
        <v>50</v>
      </c>
      <c r="K511" s="3">
        <v>200</v>
      </c>
      <c r="L511" s="3">
        <f t="shared" si="15"/>
        <v>0.84135309710865336</v>
      </c>
    </row>
    <row r="512" spans="1:12" x14ac:dyDescent="0.3">
      <c r="A512" s="3">
        <v>511</v>
      </c>
      <c r="B512" s="4">
        <v>45150</v>
      </c>
      <c r="C512" s="9" t="str">
        <f t="shared" si="14"/>
        <v>August</v>
      </c>
      <c r="D512" s="3" t="s">
        <v>524</v>
      </c>
      <c r="E512" s="3" t="s">
        <v>10</v>
      </c>
      <c r="F512" s="3">
        <v>45</v>
      </c>
      <c r="G512" s="8" t="str" cm="1">
        <f t="array" ref="G512">_xlfn.IFS(
    F512 &lt; 25, "Young",
    F512 &lt;= 40, "Mid-Age",
    F512 &gt; 40, "Old-Age"
)</f>
        <v>Old-Age</v>
      </c>
      <c r="H512" s="3" t="s">
        <v>11</v>
      </c>
      <c r="I512" s="3">
        <v>2</v>
      </c>
      <c r="J512" s="3">
        <v>50</v>
      </c>
      <c r="K512" s="3">
        <v>100</v>
      </c>
      <c r="L512" s="3">
        <f t="shared" si="15"/>
        <v>0.8381622463604872</v>
      </c>
    </row>
    <row r="513" spans="1:12" x14ac:dyDescent="0.3">
      <c r="A513" s="3">
        <v>512</v>
      </c>
      <c r="B513" s="4">
        <v>45237</v>
      </c>
      <c r="C513" s="9" t="str">
        <f t="shared" si="14"/>
        <v>November</v>
      </c>
      <c r="D513" s="3" t="s">
        <v>525</v>
      </c>
      <c r="E513" s="3" t="s">
        <v>13</v>
      </c>
      <c r="F513" s="3">
        <v>57</v>
      </c>
      <c r="G513" s="8" t="str" cm="1">
        <f t="array" ref="G513">_xlfn.IFS(
    F513 &lt; 25, "Young",
    F513 &lt;= 40, "Mid-Age",
    F513 &gt; 40, "Old-Age"
)</f>
        <v>Old-Age</v>
      </c>
      <c r="H513" s="3" t="s">
        <v>11</v>
      </c>
      <c r="I513" s="3">
        <v>1</v>
      </c>
      <c r="J513" s="3">
        <v>25</v>
      </c>
      <c r="K513" s="3">
        <v>25</v>
      </c>
      <c r="L513" s="3">
        <f t="shared" si="15"/>
        <v>0.83496377775143371</v>
      </c>
    </row>
    <row r="514" spans="1:12" x14ac:dyDescent="0.3">
      <c r="A514" s="3">
        <v>513</v>
      </c>
      <c r="B514" s="4">
        <v>45188</v>
      </c>
      <c r="C514" s="9" t="str">
        <f t="shared" ref="C514:C577" si="16">TEXT(B514,"mmmm")</f>
        <v>September</v>
      </c>
      <c r="D514" s="3" t="s">
        <v>526</v>
      </c>
      <c r="E514" s="3" t="s">
        <v>10</v>
      </c>
      <c r="F514" s="3">
        <v>24</v>
      </c>
      <c r="G514" s="8" t="str" cm="1">
        <f t="array" ref="G514">_xlfn.IFS(
    F514 &lt; 25, "Young",
    F514 &lt;= 40, "Mid-Age",
    F514 &gt; 40, "Old-Age"
)</f>
        <v>Young</v>
      </c>
      <c r="H514" s="3" t="s">
        <v>16</v>
      </c>
      <c r="I514" s="3">
        <v>4</v>
      </c>
      <c r="J514" s="3">
        <v>25</v>
      </c>
      <c r="K514" s="3">
        <v>100</v>
      </c>
      <c r="L514" s="3">
        <f t="shared" ref="L514:L577" si="17">SKEW(J514:J1513)</f>
        <v>0.83184467201281742</v>
      </c>
    </row>
    <row r="515" spans="1:12" x14ac:dyDescent="0.3">
      <c r="A515" s="3">
        <v>514</v>
      </c>
      <c r="B515" s="4">
        <v>44986</v>
      </c>
      <c r="C515" s="9" t="str">
        <f t="shared" si="16"/>
        <v>March</v>
      </c>
      <c r="D515" s="3" t="s">
        <v>527</v>
      </c>
      <c r="E515" s="3" t="s">
        <v>13</v>
      </c>
      <c r="F515" s="3">
        <v>18</v>
      </c>
      <c r="G515" s="8" t="str" cm="1">
        <f t="array" ref="G515">_xlfn.IFS(
    F515 &lt; 25, "Young",
    F515 &lt;= 40, "Mid-Age",
    F515 &gt; 40, "Old-Age"
)</f>
        <v>Young</v>
      </c>
      <c r="H515" s="3" t="s">
        <v>16</v>
      </c>
      <c r="I515" s="3">
        <v>1</v>
      </c>
      <c r="J515" s="3">
        <v>300</v>
      </c>
      <c r="K515" s="3">
        <v>300</v>
      </c>
      <c r="L515" s="3">
        <f t="shared" si="17"/>
        <v>0.82871853479873181</v>
      </c>
    </row>
    <row r="516" spans="1:12" x14ac:dyDescent="0.3">
      <c r="A516" s="3">
        <v>515</v>
      </c>
      <c r="B516" s="4">
        <v>45124</v>
      </c>
      <c r="C516" s="9" t="str">
        <f t="shared" si="16"/>
        <v>July</v>
      </c>
      <c r="D516" s="3" t="s">
        <v>528</v>
      </c>
      <c r="E516" s="3" t="s">
        <v>13</v>
      </c>
      <c r="F516" s="3">
        <v>49</v>
      </c>
      <c r="G516" s="8" t="str" cm="1">
        <f t="array" ref="G516">_xlfn.IFS(
    F516 &lt; 25, "Young",
    F516 &lt;= 40, "Mid-Age",
    F516 &gt; 40, "Old-Age"
)</f>
        <v>Old-Age</v>
      </c>
      <c r="H516" s="3" t="s">
        <v>14</v>
      </c>
      <c r="I516" s="3">
        <v>3</v>
      </c>
      <c r="J516" s="3">
        <v>300</v>
      </c>
      <c r="K516" s="3">
        <v>900</v>
      </c>
      <c r="L516" s="3">
        <f t="shared" si="17"/>
        <v>0.83266474447787642</v>
      </c>
    </row>
    <row r="517" spans="1:12" x14ac:dyDescent="0.3">
      <c r="A517" s="3">
        <v>516</v>
      </c>
      <c r="B517" s="4">
        <v>45222</v>
      </c>
      <c r="C517" s="9" t="str">
        <f t="shared" si="16"/>
        <v>October</v>
      </c>
      <c r="D517" s="3" t="s">
        <v>529</v>
      </c>
      <c r="E517" s="3" t="s">
        <v>10</v>
      </c>
      <c r="F517" s="3">
        <v>30</v>
      </c>
      <c r="G517" s="8" t="str" cm="1">
        <f t="array" ref="G517">_xlfn.IFS(
    F517 &lt; 25, "Young",
    F517 &lt;= 40, "Mid-Age",
    F517 &gt; 40, "Old-Age"
)</f>
        <v>Mid-Age</v>
      </c>
      <c r="H517" s="3" t="s">
        <v>11</v>
      </c>
      <c r="I517" s="3">
        <v>4</v>
      </c>
      <c r="J517" s="3">
        <v>25</v>
      </c>
      <c r="K517" s="3">
        <v>100</v>
      </c>
      <c r="L517" s="3">
        <f t="shared" si="17"/>
        <v>0.8366279554906727</v>
      </c>
    </row>
    <row r="518" spans="1:12" x14ac:dyDescent="0.3">
      <c r="A518" s="3">
        <v>517</v>
      </c>
      <c r="B518" s="4">
        <v>45024</v>
      </c>
      <c r="C518" s="9" t="str">
        <f t="shared" si="16"/>
        <v>April</v>
      </c>
      <c r="D518" s="3" t="s">
        <v>530</v>
      </c>
      <c r="E518" s="3" t="s">
        <v>13</v>
      </c>
      <c r="F518" s="3">
        <v>47</v>
      </c>
      <c r="G518" s="8" t="str" cm="1">
        <f t="array" ref="G518">_xlfn.IFS(
    F518 &lt; 25, "Young",
    F518 &lt;= 40, "Mid-Age",
    F518 &gt; 40, "Old-Age"
)</f>
        <v>Old-Age</v>
      </c>
      <c r="H518" s="3" t="s">
        <v>14</v>
      </c>
      <c r="I518" s="3">
        <v>4</v>
      </c>
      <c r="J518" s="3">
        <v>25</v>
      </c>
      <c r="K518" s="3">
        <v>100</v>
      </c>
      <c r="L518" s="3">
        <f t="shared" si="17"/>
        <v>0.83348270974314553</v>
      </c>
    </row>
    <row r="519" spans="1:12" x14ac:dyDescent="0.3">
      <c r="A519" s="3">
        <v>518</v>
      </c>
      <c r="B519" s="4">
        <v>45057</v>
      </c>
      <c r="C519" s="9" t="str">
        <f t="shared" si="16"/>
        <v>May</v>
      </c>
      <c r="D519" s="3" t="s">
        <v>531</v>
      </c>
      <c r="E519" s="3" t="s">
        <v>13</v>
      </c>
      <c r="F519" s="3">
        <v>40</v>
      </c>
      <c r="G519" s="8" t="str" cm="1">
        <f t="array" ref="G519">_xlfn.IFS(
    F519 &lt; 25, "Young",
    F519 &lt;= 40, "Mid-Age",
    F519 &gt; 40, "Old-Age"
)</f>
        <v>Mid-Age</v>
      </c>
      <c r="H519" s="3" t="s">
        <v>14</v>
      </c>
      <c r="I519" s="3">
        <v>1</v>
      </c>
      <c r="J519" s="3">
        <v>30</v>
      </c>
      <c r="K519" s="3">
        <v>30</v>
      </c>
      <c r="L519" s="3">
        <f t="shared" si="17"/>
        <v>0.83033031506659793</v>
      </c>
    </row>
    <row r="520" spans="1:12" x14ac:dyDescent="0.3">
      <c r="A520" s="3">
        <v>519</v>
      </c>
      <c r="B520" s="4">
        <v>44949</v>
      </c>
      <c r="C520" s="9" t="str">
        <f t="shared" si="16"/>
        <v>January</v>
      </c>
      <c r="D520" s="3" t="s">
        <v>532</v>
      </c>
      <c r="E520" s="3" t="s">
        <v>13</v>
      </c>
      <c r="F520" s="3">
        <v>36</v>
      </c>
      <c r="G520" s="8" t="str" cm="1">
        <f t="array" ref="G520">_xlfn.IFS(
    F520 &lt; 25, "Young",
    F520 &lt;= 40, "Mid-Age",
    F520 &gt; 40, "Old-Age"
)</f>
        <v>Mid-Age</v>
      </c>
      <c r="H520" s="3" t="s">
        <v>16</v>
      </c>
      <c r="I520" s="3">
        <v>4</v>
      </c>
      <c r="J520" s="3">
        <v>30</v>
      </c>
      <c r="K520" s="3">
        <v>120</v>
      </c>
      <c r="L520" s="3">
        <f t="shared" si="17"/>
        <v>0.82713270810824813</v>
      </c>
    </row>
    <row r="521" spans="1:12" x14ac:dyDescent="0.3">
      <c r="A521" s="3">
        <v>520</v>
      </c>
      <c r="B521" s="4">
        <v>45289</v>
      </c>
      <c r="C521" s="9" t="str">
        <f t="shared" si="16"/>
        <v>December</v>
      </c>
      <c r="D521" s="3" t="s">
        <v>533</v>
      </c>
      <c r="E521" s="3" t="s">
        <v>13</v>
      </c>
      <c r="F521" s="3">
        <v>49</v>
      </c>
      <c r="G521" s="8" t="str" cm="1">
        <f t="array" ref="G521">_xlfn.IFS(
    F521 &lt; 25, "Young",
    F521 &lt;= 40, "Mid-Age",
    F521 &gt; 40, "Old-Age"
)</f>
        <v>Old-Age</v>
      </c>
      <c r="H521" s="3" t="s">
        <v>16</v>
      </c>
      <c r="I521" s="3">
        <v>4</v>
      </c>
      <c r="J521" s="3">
        <v>25</v>
      </c>
      <c r="K521" s="3">
        <v>100</v>
      </c>
      <c r="L521" s="3">
        <f t="shared" si="17"/>
        <v>0.82392755652362593</v>
      </c>
    </row>
    <row r="522" spans="1:12" x14ac:dyDescent="0.3">
      <c r="A522" s="3">
        <v>521</v>
      </c>
      <c r="B522" s="4">
        <v>45150</v>
      </c>
      <c r="C522" s="9" t="str">
        <f t="shared" si="16"/>
        <v>August</v>
      </c>
      <c r="D522" s="3" t="s">
        <v>534</v>
      </c>
      <c r="E522" s="3" t="s">
        <v>13</v>
      </c>
      <c r="F522" s="3">
        <v>47</v>
      </c>
      <c r="G522" s="8" t="str" cm="1">
        <f t="array" ref="G522">_xlfn.IFS(
    F522 &lt; 25, "Young",
    F522 &lt;= 40, "Mid-Age",
    F522 &gt; 40, "Old-Age"
)</f>
        <v>Old-Age</v>
      </c>
      <c r="H522" s="3" t="s">
        <v>14</v>
      </c>
      <c r="I522" s="3">
        <v>4</v>
      </c>
      <c r="J522" s="3">
        <v>30</v>
      </c>
      <c r="K522" s="3">
        <v>120</v>
      </c>
      <c r="L522" s="3">
        <f t="shared" si="17"/>
        <v>0.82075311350077307</v>
      </c>
    </row>
    <row r="523" spans="1:12" x14ac:dyDescent="0.3">
      <c r="A523" s="3">
        <v>522</v>
      </c>
      <c r="B523" s="4">
        <v>44927</v>
      </c>
      <c r="C523" s="9" t="str">
        <f t="shared" si="16"/>
        <v>January</v>
      </c>
      <c r="D523" s="3" t="s">
        <v>535</v>
      </c>
      <c r="E523" s="3" t="s">
        <v>10</v>
      </c>
      <c r="F523" s="3">
        <v>46</v>
      </c>
      <c r="G523" s="8" t="str" cm="1">
        <f t="array" ref="G523">_xlfn.IFS(
    F523 &lt; 25, "Young",
    F523 &lt;= 40, "Mid-Age",
    F523 &gt; 40, "Old-Age"
)</f>
        <v>Old-Age</v>
      </c>
      <c r="H523" s="3" t="s">
        <v>11</v>
      </c>
      <c r="I523" s="3">
        <v>3</v>
      </c>
      <c r="J523" s="3">
        <v>500</v>
      </c>
      <c r="K523" s="3">
        <v>1500</v>
      </c>
      <c r="L523" s="3">
        <f t="shared" si="17"/>
        <v>0.8175328767272344</v>
      </c>
    </row>
    <row r="524" spans="1:12" x14ac:dyDescent="0.3">
      <c r="A524" s="3">
        <v>523</v>
      </c>
      <c r="B524" s="4">
        <v>45193</v>
      </c>
      <c r="C524" s="9" t="str">
        <f t="shared" si="16"/>
        <v>September</v>
      </c>
      <c r="D524" s="3" t="s">
        <v>536</v>
      </c>
      <c r="E524" s="3" t="s">
        <v>13</v>
      </c>
      <c r="F524" s="3">
        <v>62</v>
      </c>
      <c r="G524" s="8" t="str" cm="1">
        <f t="array" ref="G524">_xlfn.IFS(
    F524 &lt; 25, "Young",
    F524 &lt;= 40, "Mid-Age",
    F524 &gt; 40, "Old-Age"
)</f>
        <v>Old-Age</v>
      </c>
      <c r="H524" s="3" t="s">
        <v>16</v>
      </c>
      <c r="I524" s="3">
        <v>1</v>
      </c>
      <c r="J524" s="3">
        <v>300</v>
      </c>
      <c r="K524" s="3">
        <v>300</v>
      </c>
      <c r="L524" s="3">
        <f t="shared" si="17"/>
        <v>0.82434312172026292</v>
      </c>
    </row>
    <row r="525" spans="1:12" x14ac:dyDescent="0.3">
      <c r="A525" s="3">
        <v>524</v>
      </c>
      <c r="B525" s="4">
        <v>45202</v>
      </c>
      <c r="C525" s="9" t="str">
        <f t="shared" si="16"/>
        <v>October</v>
      </c>
      <c r="D525" s="3" t="s">
        <v>537</v>
      </c>
      <c r="E525" s="3" t="s">
        <v>10</v>
      </c>
      <c r="F525" s="3">
        <v>46</v>
      </c>
      <c r="G525" s="8" t="str" cm="1">
        <f t="array" ref="G525">_xlfn.IFS(
    F525 &lt; 25, "Young",
    F525 &lt;= 40, "Mid-Age",
    F525 &gt; 40, "Old-Age"
)</f>
        <v>Old-Age</v>
      </c>
      <c r="H525" s="3" t="s">
        <v>11</v>
      </c>
      <c r="I525" s="3">
        <v>4</v>
      </c>
      <c r="J525" s="3">
        <v>300</v>
      </c>
      <c r="K525" s="3">
        <v>1200</v>
      </c>
      <c r="L525" s="3">
        <f t="shared" si="17"/>
        <v>0.82833370200155299</v>
      </c>
    </row>
    <row r="526" spans="1:12" x14ac:dyDescent="0.3">
      <c r="A526" s="3">
        <v>525</v>
      </c>
      <c r="B526" s="4">
        <v>45278</v>
      </c>
      <c r="C526" s="9" t="str">
        <f t="shared" si="16"/>
        <v>December</v>
      </c>
      <c r="D526" s="3" t="s">
        <v>538</v>
      </c>
      <c r="E526" s="3" t="s">
        <v>13</v>
      </c>
      <c r="F526" s="3">
        <v>47</v>
      </c>
      <c r="G526" s="8" t="str" cm="1">
        <f t="array" ref="G526">_xlfn.IFS(
    F526 &lt; 25, "Young",
    F526 &lt;= 40, "Mid-Age",
    F526 &gt; 40, "Old-Age"
)</f>
        <v>Old-Age</v>
      </c>
      <c r="H526" s="3" t="s">
        <v>11</v>
      </c>
      <c r="I526" s="3">
        <v>2</v>
      </c>
      <c r="J526" s="3">
        <v>25</v>
      </c>
      <c r="K526" s="3">
        <v>50</v>
      </c>
      <c r="L526" s="3">
        <f t="shared" si="17"/>
        <v>0.83234170831749565</v>
      </c>
    </row>
    <row r="527" spans="1:12" x14ac:dyDescent="0.3">
      <c r="A527" s="3">
        <v>526</v>
      </c>
      <c r="B527" s="4">
        <v>45270</v>
      </c>
      <c r="C527" s="9" t="str">
        <f t="shared" si="16"/>
        <v>December</v>
      </c>
      <c r="D527" s="3" t="s">
        <v>539</v>
      </c>
      <c r="E527" s="3" t="s">
        <v>10</v>
      </c>
      <c r="F527" s="3">
        <v>33</v>
      </c>
      <c r="G527" s="8" t="str" cm="1">
        <f t="array" ref="G527">_xlfn.IFS(
    F527 &lt; 25, "Young",
    F527 &lt;= 40, "Mid-Age",
    F527 &gt; 40, "Old-Age"
)</f>
        <v>Mid-Age</v>
      </c>
      <c r="H527" s="3" t="s">
        <v>14</v>
      </c>
      <c r="I527" s="3">
        <v>2</v>
      </c>
      <c r="J527" s="3">
        <v>50</v>
      </c>
      <c r="K527" s="3">
        <v>100</v>
      </c>
      <c r="L527" s="3">
        <f t="shared" si="17"/>
        <v>0.82913613534917119</v>
      </c>
    </row>
    <row r="528" spans="1:12" x14ac:dyDescent="0.3">
      <c r="A528" s="3">
        <v>527</v>
      </c>
      <c r="B528" s="4">
        <v>45027</v>
      </c>
      <c r="C528" s="9" t="str">
        <f t="shared" si="16"/>
        <v>April</v>
      </c>
      <c r="D528" s="3" t="s">
        <v>540</v>
      </c>
      <c r="E528" s="3" t="s">
        <v>10</v>
      </c>
      <c r="F528" s="3">
        <v>57</v>
      </c>
      <c r="G528" s="8" t="str" cm="1">
        <f t="array" ref="G528">_xlfn.IFS(
    F528 &lt; 25, "Young",
    F528 &lt;= 40, "Mid-Age",
    F528 &gt; 40, "Old-Age"
)</f>
        <v>Old-Age</v>
      </c>
      <c r="H528" s="3" t="s">
        <v>14</v>
      </c>
      <c r="I528" s="3">
        <v>2</v>
      </c>
      <c r="J528" s="3">
        <v>25</v>
      </c>
      <c r="K528" s="3">
        <v>50</v>
      </c>
      <c r="L528" s="3">
        <f t="shared" si="17"/>
        <v>0.82583287227256563</v>
      </c>
    </row>
    <row r="529" spans="1:12" x14ac:dyDescent="0.3">
      <c r="A529" s="3">
        <v>528</v>
      </c>
      <c r="B529" s="4">
        <v>45113</v>
      </c>
      <c r="C529" s="9" t="str">
        <f t="shared" si="16"/>
        <v>July</v>
      </c>
      <c r="D529" s="3" t="s">
        <v>541</v>
      </c>
      <c r="E529" s="3" t="s">
        <v>13</v>
      </c>
      <c r="F529" s="3">
        <v>36</v>
      </c>
      <c r="G529" s="8" t="str" cm="1">
        <f t="array" ref="G529">_xlfn.IFS(
    F529 &lt; 25, "Young",
    F529 &lt;= 40, "Mid-Age",
    F529 &gt; 40, "Old-Age"
)</f>
        <v>Mid-Age</v>
      </c>
      <c r="H529" s="3" t="s">
        <v>14</v>
      </c>
      <c r="I529" s="3">
        <v>2</v>
      </c>
      <c r="J529" s="3">
        <v>30</v>
      </c>
      <c r="K529" s="3">
        <v>60</v>
      </c>
      <c r="L529" s="3">
        <f t="shared" si="17"/>
        <v>0.82261157395362439</v>
      </c>
    </row>
    <row r="530" spans="1:12" x14ac:dyDescent="0.3">
      <c r="A530" s="3">
        <v>529</v>
      </c>
      <c r="B530" s="4">
        <v>45147</v>
      </c>
      <c r="C530" s="9" t="str">
        <f t="shared" si="16"/>
        <v>August</v>
      </c>
      <c r="D530" s="3" t="s">
        <v>542</v>
      </c>
      <c r="E530" s="3" t="s">
        <v>13</v>
      </c>
      <c r="F530" s="3">
        <v>35</v>
      </c>
      <c r="G530" s="8" t="str" cm="1">
        <f t="array" ref="G530">_xlfn.IFS(
    F530 &lt; 25, "Young",
    F530 &lt;= 40, "Mid-Age",
    F530 &gt; 40, "Old-Age"
)</f>
        <v>Mid-Age</v>
      </c>
      <c r="H530" s="3" t="s">
        <v>14</v>
      </c>
      <c r="I530" s="3">
        <v>3</v>
      </c>
      <c r="J530" s="3">
        <v>50</v>
      </c>
      <c r="K530" s="3">
        <v>150</v>
      </c>
      <c r="L530" s="3">
        <f t="shared" si="17"/>
        <v>0.8193438499940553</v>
      </c>
    </row>
    <row r="531" spans="1:12" x14ac:dyDescent="0.3">
      <c r="A531" s="3">
        <v>530</v>
      </c>
      <c r="B531" s="4">
        <v>44962</v>
      </c>
      <c r="C531" s="9" t="str">
        <f t="shared" si="16"/>
        <v>February</v>
      </c>
      <c r="D531" s="3" t="s">
        <v>543</v>
      </c>
      <c r="E531" s="3" t="s">
        <v>13</v>
      </c>
      <c r="F531" s="3">
        <v>18</v>
      </c>
      <c r="G531" s="8" t="str" cm="1">
        <f t="array" ref="G531">_xlfn.IFS(
    F531 &lt; 25, "Young",
    F531 &lt;= 40, "Mid-Age",
    F531 &gt; 40, "Old-Age"
)</f>
        <v>Young</v>
      </c>
      <c r="H531" s="3" t="s">
        <v>16</v>
      </c>
      <c r="I531" s="3">
        <v>4</v>
      </c>
      <c r="J531" s="3">
        <v>30</v>
      </c>
      <c r="K531" s="3">
        <v>120</v>
      </c>
      <c r="L531" s="3">
        <f t="shared" si="17"/>
        <v>0.81601565482269056</v>
      </c>
    </row>
    <row r="532" spans="1:12" x14ac:dyDescent="0.3">
      <c r="A532" s="3">
        <v>531</v>
      </c>
      <c r="B532" s="4">
        <v>45267</v>
      </c>
      <c r="C532" s="9" t="str">
        <f t="shared" si="16"/>
        <v>December</v>
      </c>
      <c r="D532" s="3" t="s">
        <v>544</v>
      </c>
      <c r="E532" s="3" t="s">
        <v>10</v>
      </c>
      <c r="F532" s="3">
        <v>31</v>
      </c>
      <c r="G532" s="8" t="str" cm="1">
        <f t="array" ref="G532">_xlfn.IFS(
    F532 &lt; 25, "Young",
    F532 &lt;= 40, "Mid-Age",
    F532 &gt; 40, "Old-Age"
)</f>
        <v>Mid-Age</v>
      </c>
      <c r="H532" s="3" t="s">
        <v>16</v>
      </c>
      <c r="I532" s="3">
        <v>1</v>
      </c>
      <c r="J532" s="3">
        <v>500</v>
      </c>
      <c r="K532" s="3">
        <v>500</v>
      </c>
      <c r="L532" s="3">
        <f t="shared" si="17"/>
        <v>0.8127315925206039</v>
      </c>
    </row>
    <row r="533" spans="1:12" x14ac:dyDescent="0.3">
      <c r="A533" s="3">
        <v>532</v>
      </c>
      <c r="B533" s="4">
        <v>45096</v>
      </c>
      <c r="C533" s="9" t="str">
        <f t="shared" si="16"/>
        <v>June</v>
      </c>
      <c r="D533" s="3" t="s">
        <v>545</v>
      </c>
      <c r="E533" s="3" t="s">
        <v>13</v>
      </c>
      <c r="F533" s="3">
        <v>64</v>
      </c>
      <c r="G533" s="8" t="str" cm="1">
        <f t="array" ref="G533">_xlfn.IFS(
    F533 &lt; 25, "Young",
    F533 &lt;= 40, "Mid-Age",
    F533 &gt; 40, "Old-Age"
)</f>
        <v>Old-Age</v>
      </c>
      <c r="H533" s="3" t="s">
        <v>14</v>
      </c>
      <c r="I533" s="3">
        <v>4</v>
      </c>
      <c r="J533" s="3">
        <v>30</v>
      </c>
      <c r="K533" s="3">
        <v>120</v>
      </c>
      <c r="L533" s="3">
        <f t="shared" si="17"/>
        <v>0.8196553282839244</v>
      </c>
    </row>
    <row r="534" spans="1:12" x14ac:dyDescent="0.3">
      <c r="A534" s="3">
        <v>533</v>
      </c>
      <c r="B534" s="4">
        <v>45246</v>
      </c>
      <c r="C534" s="9" t="str">
        <f t="shared" si="16"/>
        <v>November</v>
      </c>
      <c r="D534" s="3" t="s">
        <v>546</v>
      </c>
      <c r="E534" s="3" t="s">
        <v>10</v>
      </c>
      <c r="F534" s="3">
        <v>19</v>
      </c>
      <c r="G534" s="8" t="str" cm="1">
        <f t="array" ref="G534">_xlfn.IFS(
    F534 &lt; 25, "Young",
    F534 &lt;= 40, "Mid-Age",
    F534 &gt; 40, "Old-Age"
)</f>
        <v>Young</v>
      </c>
      <c r="H534" s="3" t="s">
        <v>16</v>
      </c>
      <c r="I534" s="3">
        <v>3</v>
      </c>
      <c r="J534" s="3">
        <v>500</v>
      </c>
      <c r="K534" s="3">
        <v>1500</v>
      </c>
      <c r="L534" s="3">
        <f t="shared" si="17"/>
        <v>0.81635910357604402</v>
      </c>
    </row>
    <row r="535" spans="1:12" x14ac:dyDescent="0.3">
      <c r="A535" s="3">
        <v>534</v>
      </c>
      <c r="B535" s="4">
        <v>45087</v>
      </c>
      <c r="C535" s="9" t="str">
        <f t="shared" si="16"/>
        <v>June</v>
      </c>
      <c r="D535" s="3" t="s">
        <v>547</v>
      </c>
      <c r="E535" s="3" t="s">
        <v>10</v>
      </c>
      <c r="F535" s="3">
        <v>45</v>
      </c>
      <c r="G535" s="8" t="str" cm="1">
        <f t="array" ref="G535">_xlfn.IFS(
    F535 &lt; 25, "Young",
    F535 &lt;= 40, "Mid-Age",
    F535 &gt; 40, "Old-Age"
)</f>
        <v>Old-Age</v>
      </c>
      <c r="H535" s="3" t="s">
        <v>14</v>
      </c>
      <c r="I535" s="3">
        <v>2</v>
      </c>
      <c r="J535" s="3">
        <v>500</v>
      </c>
      <c r="K535" s="3">
        <v>1000</v>
      </c>
      <c r="L535" s="3">
        <f t="shared" si="17"/>
        <v>0.82332382626876199</v>
      </c>
    </row>
    <row r="536" spans="1:12" x14ac:dyDescent="0.3">
      <c r="A536" s="3">
        <v>535</v>
      </c>
      <c r="B536" s="4">
        <v>45266</v>
      </c>
      <c r="C536" s="9" t="str">
        <f t="shared" si="16"/>
        <v>December</v>
      </c>
      <c r="D536" s="3" t="s">
        <v>548</v>
      </c>
      <c r="E536" s="3" t="s">
        <v>10</v>
      </c>
      <c r="F536" s="3">
        <v>47</v>
      </c>
      <c r="G536" s="8" t="str" cm="1">
        <f t="array" ref="G536">_xlfn.IFS(
    F536 &lt; 25, "Young",
    F536 &lt;= 40, "Mid-Age",
    F536 &gt; 40, "Old-Age"
)</f>
        <v>Old-Age</v>
      </c>
      <c r="H536" s="3" t="s">
        <v>11</v>
      </c>
      <c r="I536" s="3">
        <v>3</v>
      </c>
      <c r="J536" s="3">
        <v>30</v>
      </c>
      <c r="K536" s="3">
        <v>90</v>
      </c>
      <c r="L536" s="3">
        <f t="shared" si="17"/>
        <v>0.83033408321537605</v>
      </c>
    </row>
    <row r="537" spans="1:12" x14ac:dyDescent="0.3">
      <c r="A537" s="3">
        <v>536</v>
      </c>
      <c r="B537" s="4">
        <v>44990</v>
      </c>
      <c r="C537" s="9" t="str">
        <f t="shared" si="16"/>
        <v>March</v>
      </c>
      <c r="D537" s="3" t="s">
        <v>549</v>
      </c>
      <c r="E537" s="3" t="s">
        <v>13</v>
      </c>
      <c r="F537" s="3">
        <v>55</v>
      </c>
      <c r="G537" s="8" t="str" cm="1">
        <f t="array" ref="G537">_xlfn.IFS(
    F537 &lt; 25, "Young",
    F537 &lt;= 40, "Mid-Age",
    F537 &gt; 40, "Old-Age"
)</f>
        <v>Old-Age</v>
      </c>
      <c r="H537" s="3" t="s">
        <v>11</v>
      </c>
      <c r="I537" s="3">
        <v>4</v>
      </c>
      <c r="J537" s="3">
        <v>30</v>
      </c>
      <c r="K537" s="3">
        <v>120</v>
      </c>
      <c r="L537" s="3">
        <f t="shared" si="17"/>
        <v>0.82702131089193553</v>
      </c>
    </row>
    <row r="538" spans="1:12" x14ac:dyDescent="0.3">
      <c r="A538" s="3">
        <v>537</v>
      </c>
      <c r="B538" s="4">
        <v>45080</v>
      </c>
      <c r="C538" s="9" t="str">
        <f t="shared" si="16"/>
        <v>June</v>
      </c>
      <c r="D538" s="3" t="s">
        <v>550</v>
      </c>
      <c r="E538" s="3" t="s">
        <v>13</v>
      </c>
      <c r="F538" s="3">
        <v>21</v>
      </c>
      <c r="G538" s="8" t="str" cm="1">
        <f t="array" ref="G538">_xlfn.IFS(
    F538 &lt; 25, "Young",
    F538 &lt;= 40, "Mid-Age",
    F538 &gt; 40, "Old-Age"
)</f>
        <v>Young</v>
      </c>
      <c r="H538" s="3" t="s">
        <v>11</v>
      </c>
      <c r="I538" s="3">
        <v>1</v>
      </c>
      <c r="J538" s="3">
        <v>500</v>
      </c>
      <c r="K538" s="3">
        <v>500</v>
      </c>
      <c r="L538" s="3">
        <f t="shared" si="17"/>
        <v>0.82370044489787353</v>
      </c>
    </row>
    <row r="539" spans="1:12" x14ac:dyDescent="0.3">
      <c r="A539" s="3">
        <v>538</v>
      </c>
      <c r="B539" s="4">
        <v>45186</v>
      </c>
      <c r="C539" s="9" t="str">
        <f t="shared" si="16"/>
        <v>September</v>
      </c>
      <c r="D539" s="3" t="s">
        <v>551</v>
      </c>
      <c r="E539" s="3" t="s">
        <v>10</v>
      </c>
      <c r="F539" s="3">
        <v>18</v>
      </c>
      <c r="G539" s="8" t="str" cm="1">
        <f t="array" ref="G539">_xlfn.IFS(
    F539 &lt; 25, "Young",
    F539 &lt;= 40, "Mid-Age",
    F539 &gt; 40, "Old-Age"
)</f>
        <v>Young</v>
      </c>
      <c r="H539" s="3" t="s">
        <v>14</v>
      </c>
      <c r="I539" s="3">
        <v>3</v>
      </c>
      <c r="J539" s="3">
        <v>50</v>
      </c>
      <c r="K539" s="3">
        <v>150</v>
      </c>
      <c r="L539" s="3">
        <f t="shared" si="17"/>
        <v>0.83074793453270135</v>
      </c>
    </row>
    <row r="540" spans="1:12" x14ac:dyDescent="0.3">
      <c r="A540" s="3">
        <v>539</v>
      </c>
      <c r="B540" s="4">
        <v>45085</v>
      </c>
      <c r="C540" s="9" t="str">
        <f t="shared" si="16"/>
        <v>June</v>
      </c>
      <c r="D540" s="3" t="s">
        <v>552</v>
      </c>
      <c r="E540" s="3" t="s">
        <v>10</v>
      </c>
      <c r="F540" s="3">
        <v>25</v>
      </c>
      <c r="G540" s="8" t="str" cm="1">
        <f t="array" ref="G540">_xlfn.IFS(
    F540 &lt; 25, "Young",
    F540 &lt;= 40, "Mid-Age",
    F540 &gt; 40, "Old-Age"
)</f>
        <v>Mid-Age</v>
      </c>
      <c r="H540" s="3" t="s">
        <v>11</v>
      </c>
      <c r="I540" s="3">
        <v>1</v>
      </c>
      <c r="J540" s="3">
        <v>500</v>
      </c>
      <c r="K540" s="3">
        <v>500</v>
      </c>
      <c r="L540" s="3">
        <f t="shared" si="17"/>
        <v>0.82735908056963781</v>
      </c>
    </row>
    <row r="541" spans="1:12" x14ac:dyDescent="0.3">
      <c r="A541" s="3">
        <v>540</v>
      </c>
      <c r="B541" s="4">
        <v>45268</v>
      </c>
      <c r="C541" s="9" t="str">
        <f t="shared" si="16"/>
        <v>December</v>
      </c>
      <c r="D541" s="3" t="s">
        <v>553</v>
      </c>
      <c r="E541" s="3" t="s">
        <v>13</v>
      </c>
      <c r="F541" s="3">
        <v>46</v>
      </c>
      <c r="G541" s="8" t="str" cm="1">
        <f t="array" ref="G541">_xlfn.IFS(
    F541 &lt; 25, "Young",
    F541 &lt;= 40, "Mid-Age",
    F541 &gt; 40, "Old-Age"
)</f>
        <v>Old-Age</v>
      </c>
      <c r="H541" s="3" t="s">
        <v>16</v>
      </c>
      <c r="I541" s="3">
        <v>3</v>
      </c>
      <c r="J541" s="3">
        <v>300</v>
      </c>
      <c r="K541" s="3">
        <v>900</v>
      </c>
      <c r="L541" s="3">
        <f t="shared" si="17"/>
        <v>0.83444806654645509</v>
      </c>
    </row>
    <row r="542" spans="1:12" x14ac:dyDescent="0.3">
      <c r="A542" s="3">
        <v>541</v>
      </c>
      <c r="B542" s="4">
        <v>45136</v>
      </c>
      <c r="C542" s="9" t="str">
        <f t="shared" si="16"/>
        <v>July</v>
      </c>
      <c r="D542" s="3" t="s">
        <v>554</v>
      </c>
      <c r="E542" s="3" t="s">
        <v>10</v>
      </c>
      <c r="F542" s="3">
        <v>56</v>
      </c>
      <c r="G542" s="8" t="str" cm="1">
        <f t="array" ref="G542">_xlfn.IFS(
    F542 &lt; 25, "Young",
    F542 &lt;= 40, "Mid-Age",
    F542 &gt; 40, "Old-Age"
)</f>
        <v>Old-Age</v>
      </c>
      <c r="H542" s="3" t="s">
        <v>11</v>
      </c>
      <c r="I542" s="3">
        <v>1</v>
      </c>
      <c r="J542" s="3">
        <v>500</v>
      </c>
      <c r="K542" s="3">
        <v>500</v>
      </c>
      <c r="L542" s="3">
        <f t="shared" si="17"/>
        <v>0.83866034569359904</v>
      </c>
    </row>
    <row r="543" spans="1:12" x14ac:dyDescent="0.3">
      <c r="A543" s="3">
        <v>542</v>
      </c>
      <c r="B543" s="4">
        <v>45094</v>
      </c>
      <c r="C543" s="9" t="str">
        <f t="shared" si="16"/>
        <v>June</v>
      </c>
      <c r="D543" s="3" t="s">
        <v>555</v>
      </c>
      <c r="E543" s="3" t="s">
        <v>13</v>
      </c>
      <c r="F543" s="3">
        <v>20</v>
      </c>
      <c r="G543" s="8" t="str" cm="1">
        <f t="array" ref="G543">_xlfn.IFS(
    F543 &lt; 25, "Young",
    F543 &lt;= 40, "Mid-Age",
    F543 &gt; 40, "Old-Age"
)</f>
        <v>Young</v>
      </c>
      <c r="H543" s="3" t="s">
        <v>11</v>
      </c>
      <c r="I543" s="3">
        <v>1</v>
      </c>
      <c r="J543" s="3">
        <v>50</v>
      </c>
      <c r="K543" s="3">
        <v>50</v>
      </c>
      <c r="L543" s="3">
        <f t="shared" si="17"/>
        <v>0.84584789205497257</v>
      </c>
    </row>
    <row r="544" spans="1:12" x14ac:dyDescent="0.3">
      <c r="A544" s="3">
        <v>543</v>
      </c>
      <c r="B544" s="4">
        <v>45133</v>
      </c>
      <c r="C544" s="9" t="str">
        <f t="shared" si="16"/>
        <v>July</v>
      </c>
      <c r="D544" s="3" t="s">
        <v>556</v>
      </c>
      <c r="E544" s="3" t="s">
        <v>10</v>
      </c>
      <c r="F544" s="3">
        <v>49</v>
      </c>
      <c r="G544" s="8" t="str" cm="1">
        <f t="array" ref="G544">_xlfn.IFS(
    F544 &lt; 25, "Young",
    F544 &lt;= 40, "Mid-Age",
    F544 &gt; 40, "Old-Age"
)</f>
        <v>Old-Age</v>
      </c>
      <c r="H544" s="3" t="s">
        <v>11</v>
      </c>
      <c r="I544" s="3">
        <v>2</v>
      </c>
      <c r="J544" s="3">
        <v>300</v>
      </c>
      <c r="K544" s="3">
        <v>600</v>
      </c>
      <c r="L544" s="3">
        <f t="shared" si="17"/>
        <v>0.84243525241786599</v>
      </c>
    </row>
    <row r="545" spans="1:12" x14ac:dyDescent="0.3">
      <c r="A545" s="3">
        <v>544</v>
      </c>
      <c r="B545" s="4">
        <v>45283</v>
      </c>
      <c r="C545" s="9" t="str">
        <f t="shared" si="16"/>
        <v>December</v>
      </c>
      <c r="D545" s="3" t="s">
        <v>557</v>
      </c>
      <c r="E545" s="3" t="s">
        <v>13</v>
      </c>
      <c r="F545" s="3">
        <v>27</v>
      </c>
      <c r="G545" s="8" t="str" cm="1">
        <f t="array" ref="G545">_xlfn.IFS(
    F545 &lt; 25, "Young",
    F545 &lt;= 40, "Mid-Age",
    F545 &gt; 40, "Old-Age"
)</f>
        <v>Mid-Age</v>
      </c>
      <c r="H545" s="3" t="s">
        <v>16</v>
      </c>
      <c r="I545" s="3">
        <v>1</v>
      </c>
      <c r="J545" s="3">
        <v>25</v>
      </c>
      <c r="K545" s="3">
        <v>25</v>
      </c>
      <c r="L545" s="3">
        <f t="shared" si="17"/>
        <v>0.84671358626476845</v>
      </c>
    </row>
    <row r="546" spans="1:12" x14ac:dyDescent="0.3">
      <c r="A546" s="3">
        <v>545</v>
      </c>
      <c r="B546" s="4">
        <v>45078</v>
      </c>
      <c r="C546" s="9" t="str">
        <f t="shared" si="16"/>
        <v>June</v>
      </c>
      <c r="D546" s="3" t="s">
        <v>558</v>
      </c>
      <c r="E546" s="3" t="s">
        <v>10</v>
      </c>
      <c r="F546" s="3">
        <v>27</v>
      </c>
      <c r="G546" s="8" t="str" cm="1">
        <f t="array" ref="G546">_xlfn.IFS(
    F546 &lt; 25, "Young",
    F546 &lt;= 40, "Mid-Age",
    F546 &gt; 40, "Old-Age"
)</f>
        <v>Mid-Age</v>
      </c>
      <c r="H546" s="3" t="s">
        <v>14</v>
      </c>
      <c r="I546" s="3">
        <v>2</v>
      </c>
      <c r="J546" s="3">
        <v>25</v>
      </c>
      <c r="K546" s="3">
        <v>50</v>
      </c>
      <c r="L546" s="3">
        <f t="shared" si="17"/>
        <v>0.84338155135467674</v>
      </c>
    </row>
    <row r="547" spans="1:12" x14ac:dyDescent="0.3">
      <c r="A547" s="3">
        <v>546</v>
      </c>
      <c r="B547" s="4">
        <v>45210</v>
      </c>
      <c r="C547" s="9" t="str">
        <f t="shared" si="16"/>
        <v>October</v>
      </c>
      <c r="D547" s="3" t="s">
        <v>559</v>
      </c>
      <c r="E547" s="3" t="s">
        <v>13</v>
      </c>
      <c r="F547" s="3">
        <v>36</v>
      </c>
      <c r="G547" s="8" t="str" cm="1">
        <f t="array" ref="G547">_xlfn.IFS(
    F547 &lt; 25, "Young",
    F547 &lt;= 40, "Mid-Age",
    F547 &gt; 40, "Old-Age"
)</f>
        <v>Mid-Age</v>
      </c>
      <c r="H547" s="3" t="s">
        <v>16</v>
      </c>
      <c r="I547" s="3">
        <v>4</v>
      </c>
      <c r="J547" s="3">
        <v>50</v>
      </c>
      <c r="K547" s="3">
        <v>200</v>
      </c>
      <c r="L547" s="3">
        <f t="shared" si="17"/>
        <v>0.84004153452386887</v>
      </c>
    </row>
    <row r="548" spans="1:12" x14ac:dyDescent="0.3">
      <c r="A548" s="3">
        <v>547</v>
      </c>
      <c r="B548" s="4">
        <v>44992</v>
      </c>
      <c r="C548" s="9" t="str">
        <f t="shared" si="16"/>
        <v>March</v>
      </c>
      <c r="D548" s="3" t="s">
        <v>560</v>
      </c>
      <c r="E548" s="3" t="s">
        <v>10</v>
      </c>
      <c r="F548" s="3">
        <v>63</v>
      </c>
      <c r="G548" s="8" t="str" cm="1">
        <f t="array" ref="G548">_xlfn.IFS(
    F548 &lt; 25, "Young",
    F548 &lt;= 40, "Mid-Age",
    F548 &gt; 40, "Old-Age"
)</f>
        <v>Old-Age</v>
      </c>
      <c r="H548" s="3" t="s">
        <v>14</v>
      </c>
      <c r="I548" s="3">
        <v>4</v>
      </c>
      <c r="J548" s="3">
        <v>500</v>
      </c>
      <c r="K548" s="3">
        <v>2000</v>
      </c>
      <c r="L548" s="3">
        <f t="shared" si="17"/>
        <v>0.83659661441624256</v>
      </c>
    </row>
    <row r="549" spans="1:12" x14ac:dyDescent="0.3">
      <c r="A549" s="3">
        <v>548</v>
      </c>
      <c r="B549" s="4">
        <v>45025</v>
      </c>
      <c r="C549" s="9" t="str">
        <f t="shared" si="16"/>
        <v>April</v>
      </c>
      <c r="D549" s="3" t="s">
        <v>561</v>
      </c>
      <c r="E549" s="3" t="s">
        <v>13</v>
      </c>
      <c r="F549" s="3">
        <v>51</v>
      </c>
      <c r="G549" s="8" t="str" cm="1">
        <f t="array" ref="G549">_xlfn.IFS(
    F549 &lt; 25, "Young",
    F549 &lt;= 40, "Mid-Age",
    F549 &gt; 40, "Old-Age"
)</f>
        <v>Old-Age</v>
      </c>
      <c r="H549" s="3" t="s">
        <v>14</v>
      </c>
      <c r="I549" s="3">
        <v>2</v>
      </c>
      <c r="J549" s="3">
        <v>30</v>
      </c>
      <c r="K549" s="3">
        <v>60</v>
      </c>
      <c r="L549" s="3">
        <f t="shared" si="17"/>
        <v>0.84386698264467319</v>
      </c>
    </row>
    <row r="550" spans="1:12" x14ac:dyDescent="0.3">
      <c r="A550" s="3">
        <v>549</v>
      </c>
      <c r="B550" s="4">
        <v>45142</v>
      </c>
      <c r="C550" s="9" t="str">
        <f t="shared" si="16"/>
        <v>August</v>
      </c>
      <c r="D550" s="3" t="s">
        <v>562</v>
      </c>
      <c r="E550" s="3" t="s">
        <v>13</v>
      </c>
      <c r="F550" s="3">
        <v>50</v>
      </c>
      <c r="G550" s="8" t="str" cm="1">
        <f t="array" ref="G550">_xlfn.IFS(
    F550 &lt; 25, "Young",
    F550 &lt;= 40, "Mid-Age",
    F550 &gt; 40, "Old-Age"
)</f>
        <v>Old-Age</v>
      </c>
      <c r="H550" s="3" t="s">
        <v>11</v>
      </c>
      <c r="I550" s="3">
        <v>2</v>
      </c>
      <c r="J550" s="3">
        <v>50</v>
      </c>
      <c r="K550" s="3">
        <v>100</v>
      </c>
      <c r="L550" s="3">
        <f t="shared" si="17"/>
        <v>0.84046405558638537</v>
      </c>
    </row>
    <row r="551" spans="1:12" x14ac:dyDescent="0.3">
      <c r="A551" s="3">
        <v>550</v>
      </c>
      <c r="B551" s="4">
        <v>45267</v>
      </c>
      <c r="C551" s="9" t="str">
        <f t="shared" si="16"/>
        <v>December</v>
      </c>
      <c r="D551" s="3" t="s">
        <v>563</v>
      </c>
      <c r="E551" s="3" t="s">
        <v>10</v>
      </c>
      <c r="F551" s="3">
        <v>40</v>
      </c>
      <c r="G551" s="8" t="str" cm="1">
        <f t="array" ref="G551">_xlfn.IFS(
    F551 &lt; 25, "Young",
    F551 &lt;= 40, "Mid-Age",
    F551 &gt; 40, "Old-Age"
)</f>
        <v>Mid-Age</v>
      </c>
      <c r="H551" s="3" t="s">
        <v>14</v>
      </c>
      <c r="I551" s="3">
        <v>3</v>
      </c>
      <c r="J551" s="3">
        <v>300</v>
      </c>
      <c r="K551" s="3">
        <v>900</v>
      </c>
      <c r="L551" s="3">
        <f t="shared" si="17"/>
        <v>0.83699632819706615</v>
      </c>
    </row>
    <row r="552" spans="1:12" x14ac:dyDescent="0.3">
      <c r="A552" s="3">
        <v>551</v>
      </c>
      <c r="B552" s="4">
        <v>45121</v>
      </c>
      <c r="C552" s="9" t="str">
        <f t="shared" si="16"/>
        <v>July</v>
      </c>
      <c r="D552" s="3" t="s">
        <v>564</v>
      </c>
      <c r="E552" s="3" t="s">
        <v>10</v>
      </c>
      <c r="F552" s="3">
        <v>45</v>
      </c>
      <c r="G552" s="8" t="str" cm="1">
        <f t="array" ref="G552">_xlfn.IFS(
    F552 &lt; 25, "Young",
    F552 &lt;= 40, "Mid-Age",
    F552 &gt; 40, "Old-Age"
)</f>
        <v>Old-Age</v>
      </c>
      <c r="H552" s="3" t="s">
        <v>16</v>
      </c>
      <c r="I552" s="3">
        <v>3</v>
      </c>
      <c r="J552" s="3">
        <v>300</v>
      </c>
      <c r="K552" s="3">
        <v>900</v>
      </c>
      <c r="L552" s="3">
        <f t="shared" si="17"/>
        <v>0.84131594583146774</v>
      </c>
    </row>
    <row r="553" spans="1:12" x14ac:dyDescent="0.3">
      <c r="A553" s="3">
        <v>552</v>
      </c>
      <c r="B553" s="4">
        <v>45273</v>
      </c>
      <c r="C553" s="9" t="str">
        <f t="shared" si="16"/>
        <v>December</v>
      </c>
      <c r="D553" s="3" t="s">
        <v>565</v>
      </c>
      <c r="E553" s="3" t="s">
        <v>13</v>
      </c>
      <c r="F553" s="3">
        <v>49</v>
      </c>
      <c r="G553" s="8" t="str" cm="1">
        <f t="array" ref="G553">_xlfn.IFS(
    F553 &lt; 25, "Young",
    F553 &lt;= 40, "Mid-Age",
    F553 &gt; 40, "Old-Age"
)</f>
        <v>Old-Age</v>
      </c>
      <c r="H553" s="3" t="s">
        <v>16</v>
      </c>
      <c r="I553" s="3">
        <v>3</v>
      </c>
      <c r="J553" s="3">
        <v>25</v>
      </c>
      <c r="K553" s="3">
        <v>75</v>
      </c>
      <c r="L553" s="3">
        <f t="shared" si="17"/>
        <v>0.84565586170044527</v>
      </c>
    </row>
    <row r="554" spans="1:12" x14ac:dyDescent="0.3">
      <c r="A554" s="3">
        <v>553</v>
      </c>
      <c r="B554" s="4">
        <v>45016</v>
      </c>
      <c r="C554" s="9" t="str">
        <f t="shared" si="16"/>
        <v>March</v>
      </c>
      <c r="D554" s="3" t="s">
        <v>566</v>
      </c>
      <c r="E554" s="3" t="s">
        <v>10</v>
      </c>
      <c r="F554" s="3">
        <v>24</v>
      </c>
      <c r="G554" s="8" t="str" cm="1">
        <f t="array" ref="G554">_xlfn.IFS(
    F554 &lt; 25, "Young",
    F554 &lt;= 40, "Mid-Age",
    F554 &gt; 40, "Old-Age"
)</f>
        <v>Young</v>
      </c>
      <c r="H554" s="3" t="s">
        <v>14</v>
      </c>
      <c r="I554" s="3">
        <v>4</v>
      </c>
      <c r="J554" s="3">
        <v>300</v>
      </c>
      <c r="K554" s="3">
        <v>1200</v>
      </c>
      <c r="L554" s="3">
        <f t="shared" si="17"/>
        <v>0.84226300057993297</v>
      </c>
    </row>
    <row r="555" spans="1:12" x14ac:dyDescent="0.3">
      <c r="A555" s="3">
        <v>554</v>
      </c>
      <c r="B555" s="4">
        <v>45242</v>
      </c>
      <c r="C555" s="9" t="str">
        <f t="shared" si="16"/>
        <v>November</v>
      </c>
      <c r="D555" s="3" t="s">
        <v>567</v>
      </c>
      <c r="E555" s="3" t="s">
        <v>13</v>
      </c>
      <c r="F555" s="3">
        <v>46</v>
      </c>
      <c r="G555" s="8" t="str" cm="1">
        <f t="array" ref="G555">_xlfn.IFS(
    F555 &lt; 25, "Young",
    F555 &lt;= 40, "Mid-Age",
    F555 &gt; 40, "Old-Age"
)</f>
        <v>Old-Age</v>
      </c>
      <c r="H555" s="3" t="s">
        <v>11</v>
      </c>
      <c r="I555" s="3">
        <v>3</v>
      </c>
      <c r="J555" s="3">
        <v>50</v>
      </c>
      <c r="K555" s="3">
        <v>150</v>
      </c>
      <c r="L555" s="3">
        <f t="shared" si="17"/>
        <v>0.84661628967505531</v>
      </c>
    </row>
    <row r="556" spans="1:12" x14ac:dyDescent="0.3">
      <c r="A556" s="3">
        <v>555</v>
      </c>
      <c r="B556" s="4">
        <v>45218</v>
      </c>
      <c r="C556" s="9" t="str">
        <f t="shared" si="16"/>
        <v>October</v>
      </c>
      <c r="D556" s="3" t="s">
        <v>568</v>
      </c>
      <c r="E556" s="3" t="s">
        <v>10</v>
      </c>
      <c r="F556" s="3">
        <v>25</v>
      </c>
      <c r="G556" s="8" t="str" cm="1">
        <f t="array" ref="G556">_xlfn.IFS(
    F556 &lt; 25, "Young",
    F556 &lt;= 40, "Mid-Age",
    F556 &gt; 40, "Old-Age"
)</f>
        <v>Mid-Age</v>
      </c>
      <c r="H556" s="3" t="s">
        <v>11</v>
      </c>
      <c r="I556" s="3">
        <v>1</v>
      </c>
      <c r="J556" s="3">
        <v>300</v>
      </c>
      <c r="K556" s="3">
        <v>300</v>
      </c>
      <c r="L556" s="3">
        <f t="shared" si="17"/>
        <v>0.84311234685112491</v>
      </c>
    </row>
    <row r="557" spans="1:12" x14ac:dyDescent="0.3">
      <c r="A557" s="3">
        <v>556</v>
      </c>
      <c r="B557" s="4">
        <v>45081</v>
      </c>
      <c r="C557" s="9" t="str">
        <f t="shared" si="16"/>
        <v>June</v>
      </c>
      <c r="D557" s="3" t="s">
        <v>569</v>
      </c>
      <c r="E557" s="3" t="s">
        <v>13</v>
      </c>
      <c r="F557" s="3">
        <v>18</v>
      </c>
      <c r="G557" s="8" t="str" cm="1">
        <f t="array" ref="G557">_xlfn.IFS(
    F557 &lt; 25, "Young",
    F557 &lt;= 40, "Mid-Age",
    F557 &gt; 40, "Old-Age"
)</f>
        <v>Young</v>
      </c>
      <c r="H557" s="3" t="s">
        <v>16</v>
      </c>
      <c r="I557" s="3">
        <v>1</v>
      </c>
      <c r="J557" s="3">
        <v>50</v>
      </c>
      <c r="K557" s="3">
        <v>50</v>
      </c>
      <c r="L557" s="3">
        <f t="shared" si="17"/>
        <v>0.84748016315150621</v>
      </c>
    </row>
    <row r="558" spans="1:12" x14ac:dyDescent="0.3">
      <c r="A558" s="3">
        <v>557</v>
      </c>
      <c r="B558" s="4">
        <v>45134</v>
      </c>
      <c r="C558" s="9" t="str">
        <f t="shared" si="16"/>
        <v>July</v>
      </c>
      <c r="D558" s="3" t="s">
        <v>570</v>
      </c>
      <c r="E558" s="3" t="s">
        <v>13</v>
      </c>
      <c r="F558" s="3">
        <v>20</v>
      </c>
      <c r="G558" s="8" t="str" cm="1">
        <f t="array" ref="G558">_xlfn.IFS(
    F558 &lt; 25, "Young",
    F558 &lt;= 40, "Mid-Age",
    F558 &gt; 40, "Old-Age"
)</f>
        <v>Young</v>
      </c>
      <c r="H558" s="3" t="s">
        <v>11</v>
      </c>
      <c r="I558" s="3">
        <v>3</v>
      </c>
      <c r="J558" s="3">
        <v>30</v>
      </c>
      <c r="K558" s="3">
        <v>90</v>
      </c>
      <c r="L558" s="3">
        <f t="shared" si="17"/>
        <v>0.84396093648126225</v>
      </c>
    </row>
    <row r="559" spans="1:12" x14ac:dyDescent="0.3">
      <c r="A559" s="3">
        <v>558</v>
      </c>
      <c r="B559" s="4">
        <v>45207</v>
      </c>
      <c r="C559" s="9" t="str">
        <f t="shared" si="16"/>
        <v>October</v>
      </c>
      <c r="D559" s="3" t="s">
        <v>571</v>
      </c>
      <c r="E559" s="3" t="s">
        <v>13</v>
      </c>
      <c r="F559" s="3">
        <v>41</v>
      </c>
      <c r="G559" s="8" t="str" cm="1">
        <f t="array" ref="G559">_xlfn.IFS(
    F559 &lt; 25, "Young",
    F559 &lt;= 40, "Mid-Age",
    F559 &gt; 40, "Old-Age"
)</f>
        <v>Old-Age</v>
      </c>
      <c r="H559" s="3" t="s">
        <v>14</v>
      </c>
      <c r="I559" s="3">
        <v>1</v>
      </c>
      <c r="J559" s="3">
        <v>25</v>
      </c>
      <c r="K559" s="3">
        <v>25</v>
      </c>
      <c r="L559" s="3">
        <f t="shared" si="17"/>
        <v>0.84048567588087364</v>
      </c>
    </row>
    <row r="560" spans="1:12" x14ac:dyDescent="0.3">
      <c r="A560" s="3">
        <v>559</v>
      </c>
      <c r="B560" s="4">
        <v>44927</v>
      </c>
      <c r="C560" s="9" t="str">
        <f t="shared" si="16"/>
        <v>January</v>
      </c>
      <c r="D560" s="3" t="s">
        <v>572</v>
      </c>
      <c r="E560" s="3" t="s">
        <v>13</v>
      </c>
      <c r="F560" s="3">
        <v>40</v>
      </c>
      <c r="G560" s="8" t="str" cm="1">
        <f t="array" ref="G560">_xlfn.IFS(
    F560 &lt; 25, "Young",
    F560 &lt;= 40, "Mid-Age",
    F560 &gt; 40, "Old-Age"
)</f>
        <v>Mid-Age</v>
      </c>
      <c r="H560" s="3" t="s">
        <v>14</v>
      </c>
      <c r="I560" s="3">
        <v>4</v>
      </c>
      <c r="J560" s="3">
        <v>300</v>
      </c>
      <c r="K560" s="3">
        <v>1200</v>
      </c>
      <c r="L560" s="3">
        <f t="shared" si="17"/>
        <v>0.83704285645566534</v>
      </c>
    </row>
    <row r="561" spans="1:12" x14ac:dyDescent="0.3">
      <c r="A561" s="3">
        <v>560</v>
      </c>
      <c r="B561" s="4">
        <v>45082</v>
      </c>
      <c r="C561" s="9" t="str">
        <f t="shared" si="16"/>
        <v>June</v>
      </c>
      <c r="D561" s="3" t="s">
        <v>573</v>
      </c>
      <c r="E561" s="3" t="s">
        <v>13</v>
      </c>
      <c r="F561" s="3">
        <v>25</v>
      </c>
      <c r="G561" s="8" t="str" cm="1">
        <f t="array" ref="G561">_xlfn.IFS(
    F561 &lt; 25, "Young",
    F561 &lt;= 40, "Mid-Age",
    F561 &gt; 40, "Old-Age"
)</f>
        <v>Mid-Age</v>
      </c>
      <c r="H561" s="3" t="s">
        <v>16</v>
      </c>
      <c r="I561" s="3">
        <v>1</v>
      </c>
      <c r="J561" s="3">
        <v>50</v>
      </c>
      <c r="K561" s="3">
        <v>50</v>
      </c>
      <c r="L561" s="3">
        <f t="shared" si="17"/>
        <v>0.84141092348208446</v>
      </c>
    </row>
    <row r="562" spans="1:12" x14ac:dyDescent="0.3">
      <c r="A562" s="3">
        <v>561</v>
      </c>
      <c r="B562" s="4">
        <v>45073</v>
      </c>
      <c r="C562" s="9" t="str">
        <f t="shared" si="16"/>
        <v>May</v>
      </c>
      <c r="D562" s="3" t="s">
        <v>574</v>
      </c>
      <c r="E562" s="3" t="s">
        <v>13</v>
      </c>
      <c r="F562" s="3">
        <v>64</v>
      </c>
      <c r="G562" s="8" t="str" cm="1">
        <f t="array" ref="G562">_xlfn.IFS(
    F562 &lt; 25, "Young",
    F562 &lt;= 40, "Mid-Age",
    F562 &gt; 40, "Old-Age"
)</f>
        <v>Old-Age</v>
      </c>
      <c r="H562" s="3" t="s">
        <v>14</v>
      </c>
      <c r="I562" s="3">
        <v>4</v>
      </c>
      <c r="J562" s="3">
        <v>500</v>
      </c>
      <c r="K562" s="3">
        <v>2000</v>
      </c>
      <c r="L562" s="3">
        <f t="shared" si="17"/>
        <v>0.83785736064338456</v>
      </c>
    </row>
    <row r="563" spans="1:12" x14ac:dyDescent="0.3">
      <c r="A563" s="3">
        <v>562</v>
      </c>
      <c r="B563" s="4">
        <v>45034</v>
      </c>
      <c r="C563" s="9" t="str">
        <f t="shared" si="16"/>
        <v>April</v>
      </c>
      <c r="D563" s="3" t="s">
        <v>575</v>
      </c>
      <c r="E563" s="3" t="s">
        <v>10</v>
      </c>
      <c r="F563" s="3">
        <v>54</v>
      </c>
      <c r="G563" s="8" t="str" cm="1">
        <f t="array" ref="G563">_xlfn.IFS(
    F563 &lt; 25, "Young",
    F563 &lt;= 40, "Mid-Age",
    F563 &gt; 40, "Old-Age"
)</f>
        <v>Old-Age</v>
      </c>
      <c r="H563" s="3" t="s">
        <v>16</v>
      </c>
      <c r="I563" s="3">
        <v>2</v>
      </c>
      <c r="J563" s="3">
        <v>25</v>
      </c>
      <c r="K563" s="3">
        <v>50</v>
      </c>
      <c r="L563" s="3">
        <f t="shared" si="17"/>
        <v>0.84541518177638419</v>
      </c>
    </row>
    <row r="564" spans="1:12" x14ac:dyDescent="0.3">
      <c r="A564" s="3">
        <v>563</v>
      </c>
      <c r="B564" s="4">
        <v>45147</v>
      </c>
      <c r="C564" s="9" t="str">
        <f t="shared" si="16"/>
        <v>August</v>
      </c>
      <c r="D564" s="3" t="s">
        <v>576</v>
      </c>
      <c r="E564" s="3" t="s">
        <v>10</v>
      </c>
      <c r="F564" s="3">
        <v>20</v>
      </c>
      <c r="G564" s="8" t="str" cm="1">
        <f t="array" ref="G564">_xlfn.IFS(
    F564 &lt; 25, "Young",
    F564 &lt;= 40, "Mid-Age",
    F564 &gt; 40, "Old-Age"
)</f>
        <v>Young</v>
      </c>
      <c r="H564" s="3" t="s">
        <v>14</v>
      </c>
      <c r="I564" s="3">
        <v>2</v>
      </c>
      <c r="J564" s="3">
        <v>30</v>
      </c>
      <c r="K564" s="3">
        <v>60</v>
      </c>
      <c r="L564" s="3">
        <f t="shared" si="17"/>
        <v>0.84194229945732479</v>
      </c>
    </row>
    <row r="565" spans="1:12" x14ac:dyDescent="0.3">
      <c r="A565" s="3">
        <v>564</v>
      </c>
      <c r="B565" s="4">
        <v>45223</v>
      </c>
      <c r="C565" s="9" t="str">
        <f t="shared" si="16"/>
        <v>October</v>
      </c>
      <c r="D565" s="3" t="s">
        <v>577</v>
      </c>
      <c r="E565" s="3" t="s">
        <v>10</v>
      </c>
      <c r="F565" s="3">
        <v>50</v>
      </c>
      <c r="G565" s="8" t="str" cm="1">
        <f t="array" ref="G565">_xlfn.IFS(
    F565 &lt; 25, "Young",
    F565 &lt;= 40, "Mid-Age",
    F565 &gt; 40, "Old-Age"
)</f>
        <v>Old-Age</v>
      </c>
      <c r="H565" s="3" t="s">
        <v>16</v>
      </c>
      <c r="I565" s="3">
        <v>2</v>
      </c>
      <c r="J565" s="3">
        <v>50</v>
      </c>
      <c r="K565" s="3">
        <v>100</v>
      </c>
      <c r="L565" s="3">
        <f t="shared" si="17"/>
        <v>0.83841889770011979</v>
      </c>
    </row>
    <row r="566" spans="1:12" x14ac:dyDescent="0.3">
      <c r="A566" s="3">
        <v>565</v>
      </c>
      <c r="B566" s="4">
        <v>45237</v>
      </c>
      <c r="C566" s="9" t="str">
        <f t="shared" si="16"/>
        <v>November</v>
      </c>
      <c r="D566" s="3" t="s">
        <v>578</v>
      </c>
      <c r="E566" s="3" t="s">
        <v>13</v>
      </c>
      <c r="F566" s="3">
        <v>45</v>
      </c>
      <c r="G566" s="8" t="str" cm="1">
        <f t="array" ref="G566">_xlfn.IFS(
    F566 &lt; 25, "Young",
    F566 &lt;= 40, "Mid-Age",
    F566 &gt; 40, "Old-Age"
)</f>
        <v>Old-Age</v>
      </c>
      <c r="H566" s="3" t="s">
        <v>11</v>
      </c>
      <c r="I566" s="3">
        <v>2</v>
      </c>
      <c r="J566" s="3">
        <v>30</v>
      </c>
      <c r="K566" s="3">
        <v>60</v>
      </c>
      <c r="L566" s="3">
        <f t="shared" si="17"/>
        <v>0.83483138337269536</v>
      </c>
    </row>
    <row r="567" spans="1:12" x14ac:dyDescent="0.3">
      <c r="A567" s="3">
        <v>566</v>
      </c>
      <c r="B567" s="4">
        <v>45262</v>
      </c>
      <c r="C567" s="9" t="str">
        <f t="shared" si="16"/>
        <v>December</v>
      </c>
      <c r="D567" s="3" t="s">
        <v>579</v>
      </c>
      <c r="E567" s="3" t="s">
        <v>13</v>
      </c>
      <c r="F567" s="3">
        <v>64</v>
      </c>
      <c r="G567" s="8" t="str" cm="1">
        <f t="array" ref="G567">_xlfn.IFS(
    F567 &lt; 25, "Young",
    F567 &lt;= 40, "Mid-Age",
    F567 &gt; 40, "Old-Age"
)</f>
        <v>Old-Age</v>
      </c>
      <c r="H567" s="3" t="s">
        <v>14</v>
      </c>
      <c r="I567" s="3">
        <v>1</v>
      </c>
      <c r="J567" s="3">
        <v>30</v>
      </c>
      <c r="K567" s="3">
        <v>30</v>
      </c>
      <c r="L567" s="3">
        <f t="shared" si="17"/>
        <v>0.83128911658803317</v>
      </c>
    </row>
    <row r="568" spans="1:12" x14ac:dyDescent="0.3">
      <c r="A568" s="3">
        <v>567</v>
      </c>
      <c r="B568" s="4">
        <v>45091</v>
      </c>
      <c r="C568" s="9" t="str">
        <f t="shared" si="16"/>
        <v>June</v>
      </c>
      <c r="D568" s="3" t="s">
        <v>580</v>
      </c>
      <c r="E568" s="3" t="s">
        <v>13</v>
      </c>
      <c r="F568" s="3">
        <v>25</v>
      </c>
      <c r="G568" s="8" t="str" cm="1">
        <f t="array" ref="G568">_xlfn.IFS(
    F568 &lt; 25, "Young",
    F568 &lt;= 40, "Mid-Age",
    F568 &gt; 40, "Old-Age"
)</f>
        <v>Mid-Age</v>
      </c>
      <c r="H568" s="3" t="s">
        <v>14</v>
      </c>
      <c r="I568" s="3">
        <v>3</v>
      </c>
      <c r="J568" s="3">
        <v>300</v>
      </c>
      <c r="K568" s="3">
        <v>900</v>
      </c>
      <c r="L568" s="3">
        <f t="shared" si="17"/>
        <v>0.82773759857334772</v>
      </c>
    </row>
    <row r="569" spans="1:12" x14ac:dyDescent="0.3">
      <c r="A569" s="3">
        <v>568</v>
      </c>
      <c r="B569" s="4">
        <v>45165</v>
      </c>
      <c r="C569" s="9" t="str">
        <f t="shared" si="16"/>
        <v>August</v>
      </c>
      <c r="D569" s="3" t="s">
        <v>581</v>
      </c>
      <c r="E569" s="3" t="s">
        <v>13</v>
      </c>
      <c r="F569" s="3">
        <v>51</v>
      </c>
      <c r="G569" s="8" t="str" cm="1">
        <f t="array" ref="G569">_xlfn.IFS(
    F569 &lt; 25, "Young",
    F569 &lt;= 40, "Mid-Age",
    F569 &gt; 40, "Old-Age"
)</f>
        <v>Old-Age</v>
      </c>
      <c r="H569" s="3" t="s">
        <v>16</v>
      </c>
      <c r="I569" s="3">
        <v>1</v>
      </c>
      <c r="J569" s="3">
        <v>300</v>
      </c>
      <c r="K569" s="3">
        <v>300</v>
      </c>
      <c r="L569" s="3">
        <f t="shared" si="17"/>
        <v>0.83214125833591568</v>
      </c>
    </row>
    <row r="570" spans="1:12" x14ac:dyDescent="0.3">
      <c r="A570" s="3">
        <v>569</v>
      </c>
      <c r="B570" s="4">
        <v>45153</v>
      </c>
      <c r="C570" s="9" t="str">
        <f t="shared" si="16"/>
        <v>August</v>
      </c>
      <c r="D570" s="3" t="s">
        <v>582</v>
      </c>
      <c r="E570" s="3" t="s">
        <v>10</v>
      </c>
      <c r="F570" s="3">
        <v>52</v>
      </c>
      <c r="G570" s="8" t="str" cm="1">
        <f t="array" ref="G570">_xlfn.IFS(
    F570 &lt; 25, "Young",
    F570 &lt;= 40, "Mid-Age",
    F570 &gt; 40, "Old-Age"
)</f>
        <v>Old-Age</v>
      </c>
      <c r="H570" s="3" t="s">
        <v>16</v>
      </c>
      <c r="I570" s="3">
        <v>4</v>
      </c>
      <c r="J570" s="3">
        <v>50</v>
      </c>
      <c r="K570" s="3">
        <v>200</v>
      </c>
      <c r="L570" s="3">
        <f t="shared" si="17"/>
        <v>0.83656614373813998</v>
      </c>
    </row>
    <row r="571" spans="1:12" x14ac:dyDescent="0.3">
      <c r="A571" s="3">
        <v>570</v>
      </c>
      <c r="B571" s="4">
        <v>45153</v>
      </c>
      <c r="C571" s="9" t="str">
        <f t="shared" si="16"/>
        <v>August</v>
      </c>
      <c r="D571" s="3" t="s">
        <v>583</v>
      </c>
      <c r="E571" s="3" t="s">
        <v>10</v>
      </c>
      <c r="F571" s="3">
        <v>49</v>
      </c>
      <c r="G571" s="8" t="str" cm="1">
        <f t="array" ref="G571">_xlfn.IFS(
    F571 &lt; 25, "Young",
    F571 &lt;= 40, "Mid-Age",
    F571 &gt; 40, "Old-Age"
)</f>
        <v>Old-Age</v>
      </c>
      <c r="H571" s="3" t="s">
        <v>14</v>
      </c>
      <c r="I571" s="3">
        <v>1</v>
      </c>
      <c r="J571" s="3">
        <v>500</v>
      </c>
      <c r="K571" s="3">
        <v>500</v>
      </c>
      <c r="L571" s="3">
        <f t="shared" si="17"/>
        <v>0.83293643743918844</v>
      </c>
    </row>
    <row r="572" spans="1:12" x14ac:dyDescent="0.3">
      <c r="A572" s="3">
        <v>571</v>
      </c>
      <c r="B572" s="4">
        <v>45272</v>
      </c>
      <c r="C572" s="9" t="str">
        <f t="shared" si="16"/>
        <v>December</v>
      </c>
      <c r="D572" s="3" t="s">
        <v>584</v>
      </c>
      <c r="E572" s="3" t="s">
        <v>13</v>
      </c>
      <c r="F572" s="3">
        <v>41</v>
      </c>
      <c r="G572" s="8" t="str" cm="1">
        <f t="array" ref="G572">_xlfn.IFS(
    F572 &lt; 25, "Young",
    F572 &lt;= 40, "Mid-Age",
    F572 &gt; 40, "Old-Age"
)</f>
        <v>Old-Age</v>
      </c>
      <c r="H572" s="3" t="s">
        <v>16</v>
      </c>
      <c r="I572" s="3">
        <v>1</v>
      </c>
      <c r="J572" s="3">
        <v>50</v>
      </c>
      <c r="K572" s="3">
        <v>50</v>
      </c>
      <c r="L572" s="3">
        <f t="shared" si="17"/>
        <v>0.84063353262098128</v>
      </c>
    </row>
    <row r="573" spans="1:12" x14ac:dyDescent="0.3">
      <c r="A573" s="3">
        <v>572</v>
      </c>
      <c r="B573" s="4">
        <v>45036</v>
      </c>
      <c r="C573" s="9" t="str">
        <f t="shared" si="16"/>
        <v>April</v>
      </c>
      <c r="D573" s="3" t="s">
        <v>585</v>
      </c>
      <c r="E573" s="3" t="s">
        <v>10</v>
      </c>
      <c r="F573" s="3">
        <v>31</v>
      </c>
      <c r="G573" s="8" t="str" cm="1">
        <f t="array" ref="G573">_xlfn.IFS(
    F573 &lt; 25, "Young",
    F573 &lt;= 40, "Mid-Age",
    F573 &gt; 40, "Old-Age"
)</f>
        <v>Mid-Age</v>
      </c>
      <c r="H573" s="3" t="s">
        <v>14</v>
      </c>
      <c r="I573" s="3">
        <v>4</v>
      </c>
      <c r="J573" s="3">
        <v>500</v>
      </c>
      <c r="K573" s="3">
        <v>2000</v>
      </c>
      <c r="L573" s="3">
        <f t="shared" si="17"/>
        <v>0.83698856659748844</v>
      </c>
    </row>
    <row r="574" spans="1:12" x14ac:dyDescent="0.3">
      <c r="A574" s="3">
        <v>573</v>
      </c>
      <c r="B574" s="4">
        <v>45188</v>
      </c>
      <c r="C574" s="9" t="str">
        <f t="shared" si="16"/>
        <v>September</v>
      </c>
      <c r="D574" s="3" t="s">
        <v>586</v>
      </c>
      <c r="E574" s="3" t="s">
        <v>10</v>
      </c>
      <c r="F574" s="3">
        <v>49</v>
      </c>
      <c r="G574" s="8" t="str" cm="1">
        <f t="array" ref="G574">_xlfn.IFS(
    F574 &lt; 25, "Young",
    F574 &lt;= 40, "Mid-Age",
    F574 &gt; 40, "Old-Age"
)</f>
        <v>Old-Age</v>
      </c>
      <c r="H574" s="3" t="s">
        <v>11</v>
      </c>
      <c r="I574" s="3">
        <v>2</v>
      </c>
      <c r="J574" s="3">
        <v>30</v>
      </c>
      <c r="K574" s="3">
        <v>60</v>
      </c>
      <c r="L574" s="3">
        <f t="shared" si="17"/>
        <v>0.84473648968888349</v>
      </c>
    </row>
    <row r="575" spans="1:12" x14ac:dyDescent="0.3">
      <c r="A575" s="3">
        <v>574</v>
      </c>
      <c r="B575" s="4">
        <v>45169</v>
      </c>
      <c r="C575" s="9" t="str">
        <f t="shared" si="16"/>
        <v>August</v>
      </c>
      <c r="D575" s="3" t="s">
        <v>587</v>
      </c>
      <c r="E575" s="3" t="s">
        <v>13</v>
      </c>
      <c r="F575" s="3">
        <v>63</v>
      </c>
      <c r="G575" s="8" t="str" cm="1">
        <f t="array" ref="G575">_xlfn.IFS(
    F575 &lt; 25, "Young",
    F575 &lt;= 40, "Mid-Age",
    F575 &gt; 40, "Old-Age"
)</f>
        <v>Old-Age</v>
      </c>
      <c r="H575" s="3" t="s">
        <v>16</v>
      </c>
      <c r="I575" s="3">
        <v>2</v>
      </c>
      <c r="J575" s="3">
        <v>25</v>
      </c>
      <c r="K575" s="3">
        <v>50</v>
      </c>
      <c r="L575" s="3">
        <f t="shared" si="17"/>
        <v>0.8411305789316349</v>
      </c>
    </row>
    <row r="576" spans="1:12" x14ac:dyDescent="0.3">
      <c r="A576" s="3">
        <v>575</v>
      </c>
      <c r="B576" s="4">
        <v>45013</v>
      </c>
      <c r="C576" s="9" t="str">
        <f t="shared" si="16"/>
        <v>March</v>
      </c>
      <c r="D576" s="3" t="s">
        <v>588</v>
      </c>
      <c r="E576" s="3" t="s">
        <v>10</v>
      </c>
      <c r="F576" s="3">
        <v>60</v>
      </c>
      <c r="G576" s="8" t="str" cm="1">
        <f t="array" ref="G576">_xlfn.IFS(
    F576 &lt; 25, "Young",
    F576 &lt;= 40, "Mid-Age",
    F576 &gt; 40, "Old-Age"
)</f>
        <v>Old-Age</v>
      </c>
      <c r="H576" s="3" t="s">
        <v>14</v>
      </c>
      <c r="I576" s="3">
        <v>2</v>
      </c>
      <c r="J576" s="3">
        <v>50</v>
      </c>
      <c r="K576" s="3">
        <v>100</v>
      </c>
      <c r="L576" s="3">
        <f t="shared" si="17"/>
        <v>0.83755778420218019</v>
      </c>
    </row>
    <row r="577" spans="1:12" x14ac:dyDescent="0.3">
      <c r="A577" s="3">
        <v>576</v>
      </c>
      <c r="B577" s="4">
        <v>45264</v>
      </c>
      <c r="C577" s="9" t="str">
        <f t="shared" si="16"/>
        <v>December</v>
      </c>
      <c r="D577" s="3" t="s">
        <v>589</v>
      </c>
      <c r="E577" s="3" t="s">
        <v>13</v>
      </c>
      <c r="F577" s="3">
        <v>33</v>
      </c>
      <c r="G577" s="8" t="str" cm="1">
        <f t="array" ref="G577">_xlfn.IFS(
    F577 &lt; 25, "Young",
    F577 &lt;= 40, "Mid-Age",
    F577 &gt; 40, "Old-Age"
)</f>
        <v>Mid-Age</v>
      </c>
      <c r="H577" s="3" t="s">
        <v>11</v>
      </c>
      <c r="I577" s="3">
        <v>3</v>
      </c>
      <c r="J577" s="3">
        <v>50</v>
      </c>
      <c r="K577" s="3">
        <v>150</v>
      </c>
      <c r="L577" s="3">
        <f t="shared" si="17"/>
        <v>0.83387708208954703</v>
      </c>
    </row>
    <row r="578" spans="1:12" x14ac:dyDescent="0.3">
      <c r="A578" s="3">
        <v>577</v>
      </c>
      <c r="B578" s="4">
        <v>44970</v>
      </c>
      <c r="C578" s="9" t="str">
        <f t="shared" ref="C578:C641" si="18">TEXT(B578,"mmmm")</f>
        <v>February</v>
      </c>
      <c r="D578" s="3" t="s">
        <v>590</v>
      </c>
      <c r="E578" s="3" t="s">
        <v>10</v>
      </c>
      <c r="F578" s="3">
        <v>21</v>
      </c>
      <c r="G578" s="8" t="str" cm="1">
        <f t="array" ref="G578">_xlfn.IFS(
    F578 &lt; 25, "Young",
    F578 &lt;= 40, "Mid-Age",
    F578 &gt; 40, "Old-Age"
)</f>
        <v>Young</v>
      </c>
      <c r="H578" s="3" t="s">
        <v>11</v>
      </c>
      <c r="I578" s="3">
        <v>4</v>
      </c>
      <c r="J578" s="3">
        <v>500</v>
      </c>
      <c r="K578" s="3">
        <v>2000</v>
      </c>
      <c r="L578" s="3">
        <f t="shared" ref="L578:L641" si="19">SKEW(J578:J1577)</f>
        <v>0.83018621613469934</v>
      </c>
    </row>
    <row r="579" spans="1:12" x14ac:dyDescent="0.3">
      <c r="A579" s="3">
        <v>578</v>
      </c>
      <c r="B579" s="4">
        <v>45072</v>
      </c>
      <c r="C579" s="9" t="str">
        <f t="shared" si="18"/>
        <v>May</v>
      </c>
      <c r="D579" s="3" t="s">
        <v>591</v>
      </c>
      <c r="E579" s="3" t="s">
        <v>13</v>
      </c>
      <c r="F579" s="3">
        <v>54</v>
      </c>
      <c r="G579" s="8" t="str" cm="1">
        <f t="array" ref="G579">_xlfn.IFS(
    F579 &lt; 25, "Young",
    F579 &lt;= 40, "Mid-Age",
    F579 &gt; 40, "Old-Age"
)</f>
        <v>Old-Age</v>
      </c>
      <c r="H579" s="3" t="s">
        <v>14</v>
      </c>
      <c r="I579" s="3">
        <v>4</v>
      </c>
      <c r="J579" s="3">
        <v>30</v>
      </c>
      <c r="K579" s="3">
        <v>120</v>
      </c>
      <c r="L579" s="3">
        <f t="shared" si="19"/>
        <v>0.83796961318488639</v>
      </c>
    </row>
    <row r="580" spans="1:12" x14ac:dyDescent="0.3">
      <c r="A580" s="3">
        <v>579</v>
      </c>
      <c r="B580" s="4">
        <v>45190</v>
      </c>
      <c r="C580" s="9" t="str">
        <f t="shared" si="18"/>
        <v>September</v>
      </c>
      <c r="D580" s="3" t="s">
        <v>592</v>
      </c>
      <c r="E580" s="3" t="s">
        <v>13</v>
      </c>
      <c r="F580" s="3">
        <v>38</v>
      </c>
      <c r="G580" s="8" t="str" cm="1">
        <f t="array" ref="G580">_xlfn.IFS(
    F580 &lt; 25, "Young",
    F580 &lt;= 40, "Mid-Age",
    F580 &gt; 40, "Old-Age"
)</f>
        <v>Mid-Age</v>
      </c>
      <c r="H580" s="3" t="s">
        <v>16</v>
      </c>
      <c r="I580" s="3">
        <v>1</v>
      </c>
      <c r="J580" s="3">
        <v>30</v>
      </c>
      <c r="K580" s="3">
        <v>30</v>
      </c>
      <c r="L580" s="3">
        <f t="shared" si="19"/>
        <v>0.83431885959245744</v>
      </c>
    </row>
    <row r="581" spans="1:12" x14ac:dyDescent="0.3">
      <c r="A581" s="3">
        <v>580</v>
      </c>
      <c r="B581" s="4">
        <v>45266</v>
      </c>
      <c r="C581" s="9" t="str">
        <f t="shared" si="18"/>
        <v>December</v>
      </c>
      <c r="D581" s="3" t="s">
        <v>593</v>
      </c>
      <c r="E581" s="3" t="s">
        <v>13</v>
      </c>
      <c r="F581" s="3">
        <v>31</v>
      </c>
      <c r="G581" s="8" t="str" cm="1">
        <f t="array" ref="G581">_xlfn.IFS(
    F581 &lt; 25, "Young",
    F581 &lt;= 40, "Mid-Age",
    F581 &gt; 40, "Old-Age"
)</f>
        <v>Mid-Age</v>
      </c>
      <c r="H581" s="3" t="s">
        <v>14</v>
      </c>
      <c r="I581" s="3">
        <v>3</v>
      </c>
      <c r="J581" s="3">
        <v>500</v>
      </c>
      <c r="K581" s="3">
        <v>1500</v>
      </c>
      <c r="L581" s="3">
        <f t="shared" si="19"/>
        <v>0.83065828771003514</v>
      </c>
    </row>
    <row r="582" spans="1:12" x14ac:dyDescent="0.3">
      <c r="A582" s="3">
        <v>581</v>
      </c>
      <c r="B582" s="4">
        <v>45251</v>
      </c>
      <c r="C582" s="9" t="str">
        <f t="shared" si="18"/>
        <v>November</v>
      </c>
      <c r="D582" s="3" t="s">
        <v>594</v>
      </c>
      <c r="E582" s="3" t="s">
        <v>13</v>
      </c>
      <c r="F582" s="3">
        <v>48</v>
      </c>
      <c r="G582" s="8" t="str" cm="1">
        <f t="array" ref="G582">_xlfn.IFS(
    F582 &lt; 25, "Young",
    F582 &lt;= 40, "Mid-Age",
    F582 &gt; 40, "Old-Age"
)</f>
        <v>Old-Age</v>
      </c>
      <c r="H582" s="3" t="s">
        <v>11</v>
      </c>
      <c r="I582" s="3">
        <v>2</v>
      </c>
      <c r="J582" s="3">
        <v>30</v>
      </c>
      <c r="K582" s="3">
        <v>60</v>
      </c>
      <c r="L582" s="3">
        <f t="shared" si="19"/>
        <v>0.8384879741243163</v>
      </c>
    </row>
    <row r="583" spans="1:12" x14ac:dyDescent="0.3">
      <c r="A583" s="3">
        <v>582</v>
      </c>
      <c r="B583" s="4">
        <v>45244</v>
      </c>
      <c r="C583" s="9" t="str">
        <f t="shared" si="18"/>
        <v>November</v>
      </c>
      <c r="D583" s="3" t="s">
        <v>595</v>
      </c>
      <c r="E583" s="3" t="s">
        <v>10</v>
      </c>
      <c r="F583" s="3">
        <v>35</v>
      </c>
      <c r="G583" s="8" t="str" cm="1">
        <f t="array" ref="G583">_xlfn.IFS(
    F583 &lt; 25, "Young",
    F583 &lt;= 40, "Mid-Age",
    F583 &gt; 40, "Old-Age"
)</f>
        <v>Mid-Age</v>
      </c>
      <c r="H583" s="3" t="s">
        <v>14</v>
      </c>
      <c r="I583" s="3">
        <v>3</v>
      </c>
      <c r="J583" s="3">
        <v>300</v>
      </c>
      <c r="K583" s="3">
        <v>900</v>
      </c>
      <c r="L583" s="3">
        <f t="shared" si="19"/>
        <v>0.83481218382348987</v>
      </c>
    </row>
    <row r="584" spans="1:12" x14ac:dyDescent="0.3">
      <c r="A584" s="3">
        <v>583</v>
      </c>
      <c r="B584" s="4">
        <v>45098</v>
      </c>
      <c r="C584" s="9" t="str">
        <f t="shared" si="18"/>
        <v>June</v>
      </c>
      <c r="D584" s="3" t="s">
        <v>596</v>
      </c>
      <c r="E584" s="3" t="s">
        <v>13</v>
      </c>
      <c r="F584" s="3">
        <v>24</v>
      </c>
      <c r="G584" s="8" t="str" cm="1">
        <f t="array" ref="G584">_xlfn.IFS(
    F584 &lt; 25, "Young",
    F584 &lt;= 40, "Mid-Age",
    F584 &gt; 40, "Old-Age"
)</f>
        <v>Young</v>
      </c>
      <c r="H584" s="3" t="s">
        <v>16</v>
      </c>
      <c r="I584" s="3">
        <v>4</v>
      </c>
      <c r="J584" s="3">
        <v>25</v>
      </c>
      <c r="K584" s="3">
        <v>100</v>
      </c>
      <c r="L584" s="3">
        <f t="shared" si="19"/>
        <v>0.83943350921315796</v>
      </c>
    </row>
    <row r="585" spans="1:12" x14ac:dyDescent="0.3">
      <c r="A585" s="3">
        <v>584</v>
      </c>
      <c r="B585" s="4">
        <v>44974</v>
      </c>
      <c r="C585" s="9" t="str">
        <f t="shared" si="18"/>
        <v>February</v>
      </c>
      <c r="D585" s="3" t="s">
        <v>597</v>
      </c>
      <c r="E585" s="3" t="s">
        <v>13</v>
      </c>
      <c r="F585" s="3">
        <v>27</v>
      </c>
      <c r="G585" s="8" t="str" cm="1">
        <f t="array" ref="G585">_xlfn.IFS(
    F585 &lt; 25, "Young",
    F585 &lt;= 40, "Mid-Age",
    F585 &gt; 40, "Old-Age"
)</f>
        <v>Mid-Age</v>
      </c>
      <c r="H585" s="3" t="s">
        <v>11</v>
      </c>
      <c r="I585" s="3">
        <v>4</v>
      </c>
      <c r="J585" s="3">
        <v>50</v>
      </c>
      <c r="K585" s="3">
        <v>200</v>
      </c>
      <c r="L585" s="3">
        <f t="shared" si="19"/>
        <v>0.83578369523278984</v>
      </c>
    </row>
    <row r="586" spans="1:12" x14ac:dyDescent="0.3">
      <c r="A586" s="3">
        <v>585</v>
      </c>
      <c r="B586" s="4">
        <v>45047</v>
      </c>
      <c r="C586" s="9" t="str">
        <f t="shared" si="18"/>
        <v>May</v>
      </c>
      <c r="D586" s="3" t="s">
        <v>598</v>
      </c>
      <c r="E586" s="3" t="s">
        <v>13</v>
      </c>
      <c r="F586" s="3">
        <v>24</v>
      </c>
      <c r="G586" s="8" t="str" cm="1">
        <f t="array" ref="G586">_xlfn.IFS(
    F586 &lt; 25, "Young",
    F586 &lt;= 40, "Mid-Age",
    F586 &gt; 40, "Old-Age"
)</f>
        <v>Young</v>
      </c>
      <c r="H586" s="3" t="s">
        <v>14</v>
      </c>
      <c r="I586" s="3">
        <v>1</v>
      </c>
      <c r="J586" s="3">
        <v>25</v>
      </c>
      <c r="K586" s="3">
        <v>25</v>
      </c>
      <c r="L586" s="3">
        <f t="shared" si="19"/>
        <v>0.83202244069420728</v>
      </c>
    </row>
    <row r="587" spans="1:12" x14ac:dyDescent="0.3">
      <c r="A587" s="3">
        <v>586</v>
      </c>
      <c r="B587" s="4">
        <v>45271</v>
      </c>
      <c r="C587" s="9" t="str">
        <f t="shared" si="18"/>
        <v>December</v>
      </c>
      <c r="D587" s="3" t="s">
        <v>599</v>
      </c>
      <c r="E587" s="3" t="s">
        <v>10</v>
      </c>
      <c r="F587" s="3">
        <v>50</v>
      </c>
      <c r="G587" s="8" t="str" cm="1">
        <f t="array" ref="G587">_xlfn.IFS(
    F587 &lt; 25, "Young",
    F587 &lt;= 40, "Mid-Age",
    F587 &gt; 40, "Old-Age"
)</f>
        <v>Old-Age</v>
      </c>
      <c r="H587" s="3" t="s">
        <v>16</v>
      </c>
      <c r="I587" s="3">
        <v>1</v>
      </c>
      <c r="J587" s="3">
        <v>50</v>
      </c>
      <c r="K587" s="3">
        <v>50</v>
      </c>
      <c r="L587" s="3">
        <f t="shared" si="19"/>
        <v>0.82835226452210076</v>
      </c>
    </row>
    <row r="588" spans="1:12" x14ac:dyDescent="0.3">
      <c r="A588" s="3">
        <v>587</v>
      </c>
      <c r="B588" s="4">
        <v>45085</v>
      </c>
      <c r="C588" s="9" t="str">
        <f t="shared" si="18"/>
        <v>June</v>
      </c>
      <c r="D588" s="3" t="s">
        <v>600</v>
      </c>
      <c r="E588" s="3" t="s">
        <v>13</v>
      </c>
      <c r="F588" s="3">
        <v>40</v>
      </c>
      <c r="G588" s="8" t="str" cm="1">
        <f t="array" ref="G588">_xlfn.IFS(
    F588 &lt; 25, "Young",
    F588 &lt;= 40, "Mid-Age",
    F588 &gt; 40, "Old-Age"
)</f>
        <v>Mid-Age</v>
      </c>
      <c r="H588" s="3" t="s">
        <v>11</v>
      </c>
      <c r="I588" s="3">
        <v>4</v>
      </c>
      <c r="J588" s="3">
        <v>300</v>
      </c>
      <c r="K588" s="3">
        <v>1200</v>
      </c>
      <c r="L588" s="3">
        <f t="shared" si="19"/>
        <v>0.82456957286698185</v>
      </c>
    </row>
    <row r="589" spans="1:12" x14ac:dyDescent="0.3">
      <c r="A589" s="3">
        <v>588</v>
      </c>
      <c r="B589" s="4">
        <v>45042</v>
      </c>
      <c r="C589" s="9" t="str">
        <f t="shared" si="18"/>
        <v>April</v>
      </c>
      <c r="D589" s="3" t="s">
        <v>601</v>
      </c>
      <c r="E589" s="3" t="s">
        <v>10</v>
      </c>
      <c r="F589" s="3">
        <v>38</v>
      </c>
      <c r="G589" s="8" t="str" cm="1">
        <f t="array" ref="G589">_xlfn.IFS(
    F589 &lt; 25, "Young",
    F589 &lt;= 40, "Mid-Age",
    F589 &gt; 40, "Old-Age"
)</f>
        <v>Mid-Age</v>
      </c>
      <c r="H589" s="3" t="s">
        <v>16</v>
      </c>
      <c r="I589" s="3">
        <v>2</v>
      </c>
      <c r="J589" s="3">
        <v>30</v>
      </c>
      <c r="K589" s="3">
        <v>60</v>
      </c>
      <c r="L589" s="3">
        <f t="shared" si="19"/>
        <v>0.82918379569203116</v>
      </c>
    </row>
    <row r="590" spans="1:12" x14ac:dyDescent="0.3">
      <c r="A590" s="3">
        <v>589</v>
      </c>
      <c r="B590" s="4">
        <v>45028</v>
      </c>
      <c r="C590" s="9" t="str">
        <f t="shared" si="18"/>
        <v>April</v>
      </c>
      <c r="D590" s="3" t="s">
        <v>602</v>
      </c>
      <c r="E590" s="3" t="s">
        <v>13</v>
      </c>
      <c r="F590" s="3">
        <v>36</v>
      </c>
      <c r="G590" s="8" t="str" cm="1">
        <f t="array" ref="G590">_xlfn.IFS(
    F590 &lt; 25, "Young",
    F590 &lt;= 40, "Mid-Age",
    F590 &gt; 40, "Old-Age"
)</f>
        <v>Mid-Age</v>
      </c>
      <c r="H590" s="3" t="s">
        <v>11</v>
      </c>
      <c r="I590" s="3">
        <v>2</v>
      </c>
      <c r="J590" s="3">
        <v>500</v>
      </c>
      <c r="K590" s="3">
        <v>1000</v>
      </c>
      <c r="L590" s="3">
        <f t="shared" si="19"/>
        <v>0.8254406162278789</v>
      </c>
    </row>
    <row r="591" spans="1:12" x14ac:dyDescent="0.3">
      <c r="A591" s="3">
        <v>590</v>
      </c>
      <c r="B591" s="4">
        <v>45002</v>
      </c>
      <c r="C591" s="9" t="str">
        <f t="shared" si="18"/>
        <v>March</v>
      </c>
      <c r="D591" s="3" t="s">
        <v>603</v>
      </c>
      <c r="E591" s="3" t="s">
        <v>10</v>
      </c>
      <c r="F591" s="3">
        <v>36</v>
      </c>
      <c r="G591" s="8" t="str" cm="1">
        <f t="array" ref="G591">_xlfn.IFS(
    F591 &lt; 25, "Young",
    F591 &lt;= 40, "Mid-Age",
    F591 &gt; 40, "Old-Age"
)</f>
        <v>Mid-Age</v>
      </c>
      <c r="H591" s="3" t="s">
        <v>14</v>
      </c>
      <c r="I591" s="3">
        <v>3</v>
      </c>
      <c r="J591" s="3">
        <v>300</v>
      </c>
      <c r="K591" s="3">
        <v>900</v>
      </c>
      <c r="L591" s="3">
        <f t="shared" si="19"/>
        <v>0.83342090728390383</v>
      </c>
    </row>
    <row r="592" spans="1:12" x14ac:dyDescent="0.3">
      <c r="A592" s="3">
        <v>591</v>
      </c>
      <c r="B592" s="4">
        <v>44939</v>
      </c>
      <c r="C592" s="9" t="str">
        <f t="shared" si="18"/>
        <v>January</v>
      </c>
      <c r="D592" s="3" t="s">
        <v>604</v>
      </c>
      <c r="E592" s="3" t="s">
        <v>10</v>
      </c>
      <c r="F592" s="3">
        <v>53</v>
      </c>
      <c r="G592" s="8" t="str" cm="1">
        <f t="array" ref="G592">_xlfn.IFS(
    F592 &lt; 25, "Young",
    F592 &lt;= 40, "Mid-Age",
    F592 &gt; 40, "Old-Age"
)</f>
        <v>Old-Age</v>
      </c>
      <c r="H592" s="3" t="s">
        <v>16</v>
      </c>
      <c r="I592" s="3">
        <v>4</v>
      </c>
      <c r="J592" s="3">
        <v>25</v>
      </c>
      <c r="K592" s="3">
        <v>100</v>
      </c>
      <c r="L592" s="3">
        <f t="shared" si="19"/>
        <v>0.83811400317561657</v>
      </c>
    </row>
    <row r="593" spans="1:12" x14ac:dyDescent="0.3">
      <c r="A593" s="3">
        <v>592</v>
      </c>
      <c r="B593" s="4">
        <v>44950</v>
      </c>
      <c r="C593" s="9" t="str">
        <f t="shared" si="18"/>
        <v>January</v>
      </c>
      <c r="D593" s="3" t="s">
        <v>605</v>
      </c>
      <c r="E593" s="3" t="s">
        <v>13</v>
      </c>
      <c r="F593" s="3">
        <v>46</v>
      </c>
      <c r="G593" s="8" t="str" cm="1">
        <f t="array" ref="G593">_xlfn.IFS(
    F593 &lt; 25, "Young",
    F593 &lt;= 40, "Mid-Age",
    F593 &gt; 40, "Old-Age"
)</f>
        <v>Old-Age</v>
      </c>
      <c r="H593" s="3" t="s">
        <v>11</v>
      </c>
      <c r="I593" s="3">
        <v>4</v>
      </c>
      <c r="J593" s="3">
        <v>500</v>
      </c>
      <c r="K593" s="3">
        <v>2000</v>
      </c>
      <c r="L593" s="3">
        <f t="shared" si="19"/>
        <v>0.8343910780972148</v>
      </c>
    </row>
    <row r="594" spans="1:12" x14ac:dyDescent="0.3">
      <c r="A594" s="3">
        <v>593</v>
      </c>
      <c r="B594" s="4">
        <v>45052</v>
      </c>
      <c r="C594" s="9" t="str">
        <f t="shared" si="18"/>
        <v>May</v>
      </c>
      <c r="D594" s="3" t="s">
        <v>606</v>
      </c>
      <c r="E594" s="3" t="s">
        <v>10</v>
      </c>
      <c r="F594" s="3">
        <v>35</v>
      </c>
      <c r="G594" s="8" t="str" cm="1">
        <f t="array" ref="G594">_xlfn.IFS(
    F594 &lt; 25, "Young",
    F594 &lt;= 40, "Mid-Age",
    F594 &gt; 40, "Old-Age"
)</f>
        <v>Mid-Age</v>
      </c>
      <c r="H594" s="3" t="s">
        <v>16</v>
      </c>
      <c r="I594" s="3">
        <v>2</v>
      </c>
      <c r="J594" s="3">
        <v>30</v>
      </c>
      <c r="K594" s="3">
        <v>60</v>
      </c>
      <c r="L594" s="3">
        <f t="shared" si="19"/>
        <v>0.84249093290110566</v>
      </c>
    </row>
    <row r="595" spans="1:12" x14ac:dyDescent="0.3">
      <c r="A595" s="3">
        <v>594</v>
      </c>
      <c r="B595" s="4">
        <v>45170</v>
      </c>
      <c r="C595" s="9" t="str">
        <f t="shared" si="18"/>
        <v>September</v>
      </c>
      <c r="D595" s="3" t="s">
        <v>607</v>
      </c>
      <c r="E595" s="3" t="s">
        <v>13</v>
      </c>
      <c r="F595" s="3">
        <v>19</v>
      </c>
      <c r="G595" s="8" t="str" cm="1">
        <f t="array" ref="G595">_xlfn.IFS(
    F595 &lt; 25, "Young",
    F595 &lt;= 40, "Mid-Age",
    F595 &gt; 40, "Old-Age"
)</f>
        <v>Young</v>
      </c>
      <c r="H595" s="3" t="s">
        <v>16</v>
      </c>
      <c r="I595" s="3">
        <v>2</v>
      </c>
      <c r="J595" s="3">
        <v>300</v>
      </c>
      <c r="K595" s="3">
        <v>600</v>
      </c>
      <c r="L595" s="3">
        <f t="shared" si="19"/>
        <v>0.83870770294086039</v>
      </c>
    </row>
    <row r="596" spans="1:12" x14ac:dyDescent="0.3">
      <c r="A596" s="3">
        <v>595</v>
      </c>
      <c r="B596" s="4">
        <v>45239</v>
      </c>
      <c r="C596" s="9" t="str">
        <f t="shared" si="18"/>
        <v>November</v>
      </c>
      <c r="D596" s="3" t="s">
        <v>608</v>
      </c>
      <c r="E596" s="3" t="s">
        <v>13</v>
      </c>
      <c r="F596" s="3">
        <v>18</v>
      </c>
      <c r="G596" s="8" t="str" cm="1">
        <f t="array" ref="G596">_xlfn.IFS(
    F596 &lt; 25, "Young",
    F596 &lt;= 40, "Mid-Age",
    F596 &gt; 40, "Old-Age"
)</f>
        <v>Young</v>
      </c>
      <c r="H596" s="3" t="s">
        <v>14</v>
      </c>
      <c r="I596" s="3">
        <v>4</v>
      </c>
      <c r="J596" s="3">
        <v>500</v>
      </c>
      <c r="K596" s="3">
        <v>2000</v>
      </c>
      <c r="L596" s="3">
        <f t="shared" si="19"/>
        <v>0.84347351186060704</v>
      </c>
    </row>
    <row r="597" spans="1:12" x14ac:dyDescent="0.3">
      <c r="A597" s="3">
        <v>596</v>
      </c>
      <c r="B597" s="4">
        <v>44964</v>
      </c>
      <c r="C597" s="9" t="str">
        <f t="shared" si="18"/>
        <v>February</v>
      </c>
      <c r="D597" s="3" t="s">
        <v>609</v>
      </c>
      <c r="E597" s="3" t="s">
        <v>13</v>
      </c>
      <c r="F597" s="3">
        <v>64</v>
      </c>
      <c r="G597" s="8" t="str" cm="1">
        <f t="array" ref="G597">_xlfn.IFS(
    F597 &lt; 25, "Young",
    F597 &lt;= 40, "Mid-Age",
    F597 &gt; 40, "Old-Age"
)</f>
        <v>Old-Age</v>
      </c>
      <c r="H597" s="3" t="s">
        <v>16</v>
      </c>
      <c r="I597" s="3">
        <v>1</v>
      </c>
      <c r="J597" s="3">
        <v>300</v>
      </c>
      <c r="K597" s="3">
        <v>300</v>
      </c>
      <c r="L597" s="3">
        <f t="shared" si="19"/>
        <v>0.85169616489010713</v>
      </c>
    </row>
    <row r="598" spans="1:12" x14ac:dyDescent="0.3">
      <c r="A598" s="3">
        <v>597</v>
      </c>
      <c r="B598" s="4">
        <v>45160</v>
      </c>
      <c r="C598" s="9" t="str">
        <f t="shared" si="18"/>
        <v>August</v>
      </c>
      <c r="D598" s="3" t="s">
        <v>610</v>
      </c>
      <c r="E598" s="3" t="s">
        <v>10</v>
      </c>
      <c r="F598" s="3">
        <v>22</v>
      </c>
      <c r="G598" s="8" t="str" cm="1">
        <f t="array" ref="G598">_xlfn.IFS(
    F598 &lt; 25, "Young",
    F598 &lt;= 40, "Mid-Age",
    F598 &gt; 40, "Old-Age"
)</f>
        <v>Young</v>
      </c>
      <c r="H598" s="3" t="s">
        <v>11</v>
      </c>
      <c r="I598" s="3">
        <v>4</v>
      </c>
      <c r="J598" s="3">
        <v>300</v>
      </c>
      <c r="K598" s="3">
        <v>1200</v>
      </c>
      <c r="L598" s="3">
        <f t="shared" si="19"/>
        <v>0.85655420368207558</v>
      </c>
    </row>
    <row r="599" spans="1:12" x14ac:dyDescent="0.3">
      <c r="A599" s="3">
        <v>598</v>
      </c>
      <c r="B599" s="4">
        <v>45139</v>
      </c>
      <c r="C599" s="9" t="str">
        <f t="shared" si="18"/>
        <v>August</v>
      </c>
      <c r="D599" s="3" t="s">
        <v>611</v>
      </c>
      <c r="E599" s="3" t="s">
        <v>10</v>
      </c>
      <c r="F599" s="3">
        <v>37</v>
      </c>
      <c r="G599" s="8" t="str" cm="1">
        <f t="array" ref="G599">_xlfn.IFS(
    F599 &lt; 25, "Young",
    F599 &lt;= 40, "Mid-Age",
    F599 &gt; 40, "Old-Age"
)</f>
        <v>Mid-Age</v>
      </c>
      <c r="H599" s="3" t="s">
        <v>11</v>
      </c>
      <c r="I599" s="3">
        <v>4</v>
      </c>
      <c r="J599" s="3">
        <v>30</v>
      </c>
      <c r="K599" s="3">
        <v>120</v>
      </c>
      <c r="L599" s="3">
        <f t="shared" si="19"/>
        <v>0.86143788860517889</v>
      </c>
    </row>
    <row r="600" spans="1:12" x14ac:dyDescent="0.3">
      <c r="A600" s="3">
        <v>599</v>
      </c>
      <c r="B600" s="4">
        <v>45249</v>
      </c>
      <c r="C600" s="9" t="str">
        <f t="shared" si="18"/>
        <v>November</v>
      </c>
      <c r="D600" s="3" t="s">
        <v>612</v>
      </c>
      <c r="E600" s="3" t="s">
        <v>13</v>
      </c>
      <c r="F600" s="3">
        <v>28</v>
      </c>
      <c r="G600" s="8" t="str" cm="1">
        <f t="array" ref="G600">_xlfn.IFS(
    F600 &lt; 25, "Young",
    F600 &lt;= 40, "Mid-Age",
    F600 &gt; 40, "Old-Age"
)</f>
        <v>Mid-Age</v>
      </c>
      <c r="H600" s="3" t="s">
        <v>11</v>
      </c>
      <c r="I600" s="3">
        <v>2</v>
      </c>
      <c r="J600" s="3">
        <v>50</v>
      </c>
      <c r="K600" s="3">
        <v>100</v>
      </c>
      <c r="L600" s="3">
        <f t="shared" si="19"/>
        <v>0.85761277547898596</v>
      </c>
    </row>
    <row r="601" spans="1:12" x14ac:dyDescent="0.3">
      <c r="A601" s="3">
        <v>600</v>
      </c>
      <c r="B601" s="4">
        <v>45221</v>
      </c>
      <c r="C601" s="9" t="str">
        <f t="shared" si="18"/>
        <v>October</v>
      </c>
      <c r="D601" s="3" t="s">
        <v>613</v>
      </c>
      <c r="E601" s="3" t="s">
        <v>13</v>
      </c>
      <c r="F601" s="3">
        <v>59</v>
      </c>
      <c r="G601" s="8" t="str" cm="1">
        <f t="array" ref="G601">_xlfn.IFS(
    F601 &lt; 25, "Young",
    F601 &lt;= 40, "Mid-Age",
    F601 &gt; 40, "Old-Age"
)</f>
        <v>Old-Age</v>
      </c>
      <c r="H601" s="3" t="s">
        <v>11</v>
      </c>
      <c r="I601" s="3">
        <v>2</v>
      </c>
      <c r="J601" s="3">
        <v>500</v>
      </c>
      <c r="K601" s="3">
        <v>1000</v>
      </c>
      <c r="L601" s="3">
        <f t="shared" si="19"/>
        <v>0.85372036682969665</v>
      </c>
    </row>
    <row r="602" spans="1:12" x14ac:dyDescent="0.3">
      <c r="A602" s="3">
        <v>601</v>
      </c>
      <c r="B602" s="4">
        <v>45026</v>
      </c>
      <c r="C602" s="9" t="str">
        <f t="shared" si="18"/>
        <v>April</v>
      </c>
      <c r="D602" s="3" t="s">
        <v>614</v>
      </c>
      <c r="E602" s="3" t="s">
        <v>10</v>
      </c>
      <c r="F602" s="3">
        <v>19</v>
      </c>
      <c r="G602" s="8" t="str" cm="1">
        <f t="array" ref="G602">_xlfn.IFS(
    F602 &lt; 25, "Young",
    F602 &lt;= 40, "Mid-Age",
    F602 &gt; 40, "Old-Age"
)</f>
        <v>Young</v>
      </c>
      <c r="H602" s="3" t="s">
        <v>14</v>
      </c>
      <c r="I602" s="3">
        <v>1</v>
      </c>
      <c r="J602" s="3">
        <v>30</v>
      </c>
      <c r="K602" s="3">
        <v>30</v>
      </c>
      <c r="L602" s="3">
        <f t="shared" si="19"/>
        <v>0.86213263672763585</v>
      </c>
    </row>
    <row r="603" spans="1:12" x14ac:dyDescent="0.3">
      <c r="A603" s="3">
        <v>602</v>
      </c>
      <c r="B603" s="4">
        <v>45283</v>
      </c>
      <c r="C603" s="9" t="str">
        <f t="shared" si="18"/>
        <v>December</v>
      </c>
      <c r="D603" s="3" t="s">
        <v>615</v>
      </c>
      <c r="E603" s="3" t="s">
        <v>13</v>
      </c>
      <c r="F603" s="3">
        <v>20</v>
      </c>
      <c r="G603" s="8" t="str" cm="1">
        <f t="array" ref="G603">_xlfn.IFS(
    F603 &lt; 25, "Young",
    F603 &lt;= 40, "Mid-Age",
    F603 &gt; 40, "Old-Age"
)</f>
        <v>Young</v>
      </c>
      <c r="H603" s="3" t="s">
        <v>16</v>
      </c>
      <c r="I603" s="3">
        <v>1</v>
      </c>
      <c r="J603" s="3">
        <v>300</v>
      </c>
      <c r="K603" s="3">
        <v>300</v>
      </c>
      <c r="L603" s="3">
        <f t="shared" si="19"/>
        <v>0.85827937249075348</v>
      </c>
    </row>
    <row r="604" spans="1:12" x14ac:dyDescent="0.3">
      <c r="A604" s="3">
        <v>603</v>
      </c>
      <c r="B604" s="4">
        <v>45123</v>
      </c>
      <c r="C604" s="9" t="str">
        <f t="shared" si="18"/>
        <v>July</v>
      </c>
      <c r="D604" s="3" t="s">
        <v>616</v>
      </c>
      <c r="E604" s="3" t="s">
        <v>13</v>
      </c>
      <c r="F604" s="3">
        <v>40</v>
      </c>
      <c r="G604" s="8" t="str" cm="1">
        <f t="array" ref="G604">_xlfn.IFS(
    F604 &lt; 25, "Young",
    F604 &lt;= 40, "Mid-Age",
    F604 &gt; 40, "Old-Age"
)</f>
        <v>Mid-Age</v>
      </c>
      <c r="H604" s="3" t="s">
        <v>14</v>
      </c>
      <c r="I604" s="3">
        <v>3</v>
      </c>
      <c r="J604" s="3">
        <v>30</v>
      </c>
      <c r="K604" s="3">
        <v>90</v>
      </c>
      <c r="L604" s="3">
        <f t="shared" si="19"/>
        <v>0.86323401866672012</v>
      </c>
    </row>
    <row r="605" spans="1:12" x14ac:dyDescent="0.3">
      <c r="A605" s="3">
        <v>604</v>
      </c>
      <c r="B605" s="4">
        <v>45180</v>
      </c>
      <c r="C605" s="9" t="str">
        <f t="shared" si="18"/>
        <v>September</v>
      </c>
      <c r="D605" s="3" t="s">
        <v>617</v>
      </c>
      <c r="E605" s="3" t="s">
        <v>13</v>
      </c>
      <c r="F605" s="3">
        <v>29</v>
      </c>
      <c r="G605" s="8" t="str" cm="1">
        <f t="array" ref="G605">_xlfn.IFS(
    F605 &lt; 25, "Young",
    F605 &lt;= 40, "Mid-Age",
    F605 &gt; 40, "Old-Age"
)</f>
        <v>Mid-Age</v>
      </c>
      <c r="H605" s="3" t="s">
        <v>16</v>
      </c>
      <c r="I605" s="3">
        <v>4</v>
      </c>
      <c r="J605" s="3">
        <v>50</v>
      </c>
      <c r="K605" s="3">
        <v>200</v>
      </c>
      <c r="L605" s="3">
        <f t="shared" si="19"/>
        <v>0.85936110002193411</v>
      </c>
    </row>
    <row r="606" spans="1:12" x14ac:dyDescent="0.3">
      <c r="A606" s="3">
        <v>605</v>
      </c>
      <c r="B606" s="4">
        <v>45131</v>
      </c>
      <c r="C606" s="9" t="str">
        <f t="shared" si="18"/>
        <v>July</v>
      </c>
      <c r="D606" s="3" t="s">
        <v>618</v>
      </c>
      <c r="E606" s="3" t="s">
        <v>10</v>
      </c>
      <c r="F606" s="3">
        <v>37</v>
      </c>
      <c r="G606" s="8" t="str" cm="1">
        <f t="array" ref="G606">_xlfn.IFS(
    F606 &lt; 25, "Young",
    F606 &lt;= 40, "Mid-Age",
    F606 &gt; 40, "Old-Age"
)</f>
        <v>Mid-Age</v>
      </c>
      <c r="H606" s="3" t="s">
        <v>16</v>
      </c>
      <c r="I606" s="3">
        <v>2</v>
      </c>
      <c r="J606" s="3">
        <v>500</v>
      </c>
      <c r="K606" s="3">
        <v>1000</v>
      </c>
      <c r="L606" s="3">
        <f t="shared" si="19"/>
        <v>0.85542027983930746</v>
      </c>
    </row>
    <row r="607" spans="1:12" x14ac:dyDescent="0.3">
      <c r="A607" s="3">
        <v>606</v>
      </c>
      <c r="B607" s="4">
        <v>45051</v>
      </c>
      <c r="C607" s="9" t="str">
        <f t="shared" si="18"/>
        <v>May</v>
      </c>
      <c r="D607" s="3" t="s">
        <v>619</v>
      </c>
      <c r="E607" s="3" t="s">
        <v>10</v>
      </c>
      <c r="F607" s="3">
        <v>22</v>
      </c>
      <c r="G607" s="8" t="str" cm="1">
        <f t="array" ref="G607">_xlfn.IFS(
    F607 &lt; 25, "Young",
    F607 &lt;= 40, "Mid-Age",
    F607 &gt; 40, "Old-Age"
)</f>
        <v>Young</v>
      </c>
      <c r="H607" s="3" t="s">
        <v>16</v>
      </c>
      <c r="I607" s="3">
        <v>1</v>
      </c>
      <c r="J607" s="3">
        <v>50</v>
      </c>
      <c r="K607" s="3">
        <v>50</v>
      </c>
      <c r="L607" s="3">
        <f t="shared" si="19"/>
        <v>0.86395210170453973</v>
      </c>
    </row>
    <row r="608" spans="1:12" x14ac:dyDescent="0.3">
      <c r="A608" s="3">
        <v>607</v>
      </c>
      <c r="B608" s="4">
        <v>45002</v>
      </c>
      <c r="C608" s="9" t="str">
        <f t="shared" si="18"/>
        <v>March</v>
      </c>
      <c r="D608" s="3" t="s">
        <v>620</v>
      </c>
      <c r="E608" s="3" t="s">
        <v>10</v>
      </c>
      <c r="F608" s="3">
        <v>54</v>
      </c>
      <c r="G608" s="8" t="str" cm="1">
        <f t="array" ref="G608">_xlfn.IFS(
    F608 &lt; 25, "Young",
    F608 &lt;= 40, "Mid-Age",
    F608 &gt; 40, "Old-Age"
)</f>
        <v>Old-Age</v>
      </c>
      <c r="H608" s="3" t="s">
        <v>14</v>
      </c>
      <c r="I608" s="3">
        <v>3</v>
      </c>
      <c r="J608" s="3">
        <v>25</v>
      </c>
      <c r="K608" s="3">
        <v>75</v>
      </c>
      <c r="L608" s="3">
        <f t="shared" si="19"/>
        <v>0.8599931729861201</v>
      </c>
    </row>
    <row r="609" spans="1:12" x14ac:dyDescent="0.3">
      <c r="A609" s="3">
        <v>608</v>
      </c>
      <c r="B609" s="4">
        <v>45262</v>
      </c>
      <c r="C609" s="9" t="str">
        <f t="shared" si="18"/>
        <v>December</v>
      </c>
      <c r="D609" s="3" t="s">
        <v>621</v>
      </c>
      <c r="E609" s="3" t="s">
        <v>13</v>
      </c>
      <c r="F609" s="3">
        <v>55</v>
      </c>
      <c r="G609" s="8" t="str" cm="1">
        <f t="array" ref="G609">_xlfn.IFS(
    F609 &lt; 25, "Young",
    F609 &lt;= 40, "Mid-Age",
    F609 &gt; 40, "Old-Age"
)</f>
        <v>Old-Age</v>
      </c>
      <c r="H609" s="3" t="s">
        <v>16</v>
      </c>
      <c r="I609" s="3">
        <v>3</v>
      </c>
      <c r="J609" s="3">
        <v>500</v>
      </c>
      <c r="K609" s="3">
        <v>1500</v>
      </c>
      <c r="L609" s="3">
        <f t="shared" si="19"/>
        <v>0.8561254412295628</v>
      </c>
    </row>
    <row r="610" spans="1:12" x14ac:dyDescent="0.3">
      <c r="A610" s="3">
        <v>609</v>
      </c>
      <c r="B610" s="4">
        <v>45279</v>
      </c>
      <c r="C610" s="9" t="str">
        <f t="shared" si="18"/>
        <v>December</v>
      </c>
      <c r="D610" s="3" t="s">
        <v>622</v>
      </c>
      <c r="E610" s="3" t="s">
        <v>13</v>
      </c>
      <c r="F610" s="3">
        <v>47</v>
      </c>
      <c r="G610" s="8" t="str" cm="1">
        <f t="array" ref="G610">_xlfn.IFS(
    F610 &lt; 25, "Young",
    F610 &lt;= 40, "Mid-Age",
    F610 &gt; 40, "Old-Age"
)</f>
        <v>Old-Age</v>
      </c>
      <c r="H610" s="3" t="s">
        <v>14</v>
      </c>
      <c r="I610" s="3">
        <v>2</v>
      </c>
      <c r="J610" s="3">
        <v>50</v>
      </c>
      <c r="K610" s="3">
        <v>100</v>
      </c>
      <c r="L610" s="3">
        <f t="shared" si="19"/>
        <v>0.86471359365068157</v>
      </c>
    </row>
    <row r="611" spans="1:12" x14ac:dyDescent="0.3">
      <c r="A611" s="3">
        <v>610</v>
      </c>
      <c r="B611" s="4">
        <v>44929</v>
      </c>
      <c r="C611" s="9" t="str">
        <f t="shared" si="18"/>
        <v>January</v>
      </c>
      <c r="D611" s="3" t="s">
        <v>623</v>
      </c>
      <c r="E611" s="3" t="s">
        <v>13</v>
      </c>
      <c r="F611" s="3">
        <v>26</v>
      </c>
      <c r="G611" s="8" t="str" cm="1">
        <f t="array" ref="G611">_xlfn.IFS(
    F611 &lt; 25, "Young",
    F611 &lt;= 40, "Mid-Age",
    F611 &gt; 40, "Old-Age"
)</f>
        <v>Mid-Age</v>
      </c>
      <c r="H611" s="3" t="s">
        <v>11</v>
      </c>
      <c r="I611" s="3">
        <v>2</v>
      </c>
      <c r="J611" s="3">
        <v>300</v>
      </c>
      <c r="K611" s="3">
        <v>600</v>
      </c>
      <c r="L611" s="3">
        <f t="shared" si="19"/>
        <v>0.86072448352836173</v>
      </c>
    </row>
    <row r="612" spans="1:12" x14ac:dyDescent="0.3">
      <c r="A612" s="3">
        <v>611</v>
      </c>
      <c r="B612" s="4">
        <v>44981</v>
      </c>
      <c r="C612" s="9" t="str">
        <f t="shared" si="18"/>
        <v>February</v>
      </c>
      <c r="D612" s="3" t="s">
        <v>624</v>
      </c>
      <c r="E612" s="3" t="s">
        <v>10</v>
      </c>
      <c r="F612" s="3">
        <v>51</v>
      </c>
      <c r="G612" s="8" t="str" cm="1">
        <f t="array" ref="G612">_xlfn.IFS(
    F612 &lt; 25, "Young",
    F612 &lt;= 40, "Mid-Age",
    F612 &gt; 40, "Old-Age"
)</f>
        <v>Old-Age</v>
      </c>
      <c r="H612" s="3" t="s">
        <v>11</v>
      </c>
      <c r="I612" s="3">
        <v>3</v>
      </c>
      <c r="J612" s="3">
        <v>500</v>
      </c>
      <c r="K612" s="3">
        <v>1500</v>
      </c>
      <c r="L612" s="3">
        <f t="shared" si="19"/>
        <v>0.8658095339570161</v>
      </c>
    </row>
    <row r="613" spans="1:12" x14ac:dyDescent="0.3">
      <c r="A613" s="3">
        <v>612</v>
      </c>
      <c r="B613" s="4">
        <v>45144</v>
      </c>
      <c r="C613" s="9" t="str">
        <f t="shared" si="18"/>
        <v>August</v>
      </c>
      <c r="D613" s="3" t="s">
        <v>625</v>
      </c>
      <c r="E613" s="3" t="s">
        <v>13</v>
      </c>
      <c r="F613" s="3">
        <v>61</v>
      </c>
      <c r="G613" s="8" t="str" cm="1">
        <f t="array" ref="G613">_xlfn.IFS(
    F613 &lt; 25, "Young",
    F613 &lt;= 40, "Mid-Age",
    F613 &gt; 40, "Old-Age"
)</f>
        <v>Old-Age</v>
      </c>
      <c r="H613" s="3" t="s">
        <v>16</v>
      </c>
      <c r="I613" s="3">
        <v>1</v>
      </c>
      <c r="J613" s="3">
        <v>500</v>
      </c>
      <c r="K613" s="3">
        <v>500</v>
      </c>
      <c r="L613" s="3">
        <f t="shared" si="19"/>
        <v>0.87453541168185578</v>
      </c>
    </row>
    <row r="614" spans="1:12" x14ac:dyDescent="0.3">
      <c r="A614" s="3">
        <v>613</v>
      </c>
      <c r="B614" s="4">
        <v>45039</v>
      </c>
      <c r="C614" s="9" t="str">
        <f t="shared" si="18"/>
        <v>April</v>
      </c>
      <c r="D614" s="3" t="s">
        <v>626</v>
      </c>
      <c r="E614" s="3" t="s">
        <v>13</v>
      </c>
      <c r="F614" s="3">
        <v>52</v>
      </c>
      <c r="G614" s="8" t="str" cm="1">
        <f t="array" ref="G614">_xlfn.IFS(
    F614 &lt; 25, "Young",
    F614 &lt;= 40, "Mid-Age",
    F614 &gt; 40, "Old-Age"
)</f>
        <v>Old-Age</v>
      </c>
      <c r="H614" s="3" t="s">
        <v>14</v>
      </c>
      <c r="I614" s="3">
        <v>3</v>
      </c>
      <c r="J614" s="3">
        <v>30</v>
      </c>
      <c r="K614" s="3">
        <v>90</v>
      </c>
      <c r="L614" s="3">
        <f t="shared" si="19"/>
        <v>0.88333306645068688</v>
      </c>
    </row>
    <row r="615" spans="1:12" x14ac:dyDescent="0.3">
      <c r="A615" s="3">
        <v>614</v>
      </c>
      <c r="B615" s="4">
        <v>45017</v>
      </c>
      <c r="C615" s="9" t="str">
        <f t="shared" si="18"/>
        <v>April</v>
      </c>
      <c r="D615" s="3" t="s">
        <v>627</v>
      </c>
      <c r="E615" s="3" t="s">
        <v>13</v>
      </c>
      <c r="F615" s="3">
        <v>39</v>
      </c>
      <c r="G615" s="8" t="str" cm="1">
        <f t="array" ref="G615">_xlfn.IFS(
    F615 &lt; 25, "Young",
    F615 &lt;= 40, "Mid-Age",
    F615 &gt; 40, "Old-Age"
)</f>
        <v>Mid-Age</v>
      </c>
      <c r="H615" s="3" t="s">
        <v>11</v>
      </c>
      <c r="I615" s="3">
        <v>4</v>
      </c>
      <c r="J615" s="3">
        <v>300</v>
      </c>
      <c r="K615" s="3">
        <v>1200</v>
      </c>
      <c r="L615" s="3">
        <f t="shared" si="19"/>
        <v>0.87936787067275501</v>
      </c>
    </row>
    <row r="616" spans="1:12" x14ac:dyDescent="0.3">
      <c r="A616" s="3">
        <v>615</v>
      </c>
      <c r="B616" s="4">
        <v>45283</v>
      </c>
      <c r="C616" s="9" t="str">
        <f t="shared" si="18"/>
        <v>December</v>
      </c>
      <c r="D616" s="3" t="s">
        <v>628</v>
      </c>
      <c r="E616" s="3" t="s">
        <v>13</v>
      </c>
      <c r="F616" s="3">
        <v>61</v>
      </c>
      <c r="G616" s="8" t="str" cm="1">
        <f t="array" ref="G616">_xlfn.IFS(
    F616 &lt; 25, "Young",
    F616 &lt;= 40, "Mid-Age",
    F616 &gt; 40, "Old-Age"
)</f>
        <v>Old-Age</v>
      </c>
      <c r="H616" s="3" t="s">
        <v>14</v>
      </c>
      <c r="I616" s="3">
        <v>4</v>
      </c>
      <c r="J616" s="3">
        <v>25</v>
      </c>
      <c r="K616" s="3">
        <v>100</v>
      </c>
      <c r="L616" s="3">
        <f t="shared" si="19"/>
        <v>0.88462475304384447</v>
      </c>
    </row>
    <row r="617" spans="1:12" x14ac:dyDescent="0.3">
      <c r="A617" s="3">
        <v>616</v>
      </c>
      <c r="B617" s="4">
        <v>45192</v>
      </c>
      <c r="C617" s="9" t="str">
        <f t="shared" si="18"/>
        <v>September</v>
      </c>
      <c r="D617" s="3" t="s">
        <v>629</v>
      </c>
      <c r="E617" s="3" t="s">
        <v>10</v>
      </c>
      <c r="F617" s="3">
        <v>41</v>
      </c>
      <c r="G617" s="8" t="str" cm="1">
        <f t="array" ref="G617">_xlfn.IFS(
    F617 &lt; 25, "Young",
    F617 &lt;= 40, "Mid-Age",
    F617 &gt; 40, "Old-Age"
)</f>
        <v>Old-Age</v>
      </c>
      <c r="H617" s="3" t="s">
        <v>14</v>
      </c>
      <c r="I617" s="3">
        <v>2</v>
      </c>
      <c r="J617" s="3">
        <v>50</v>
      </c>
      <c r="K617" s="3">
        <v>100</v>
      </c>
      <c r="L617" s="3">
        <f t="shared" si="19"/>
        <v>0.88068566543721882</v>
      </c>
    </row>
    <row r="618" spans="1:12" x14ac:dyDescent="0.3">
      <c r="A618" s="3">
        <v>617</v>
      </c>
      <c r="B618" s="4">
        <v>45164</v>
      </c>
      <c r="C618" s="9" t="str">
        <f t="shared" si="18"/>
        <v>August</v>
      </c>
      <c r="D618" s="3" t="s">
        <v>630</v>
      </c>
      <c r="E618" s="3" t="s">
        <v>10</v>
      </c>
      <c r="F618" s="3">
        <v>34</v>
      </c>
      <c r="G618" s="8" t="str" cm="1">
        <f t="array" ref="G618">_xlfn.IFS(
    F618 &lt; 25, "Young",
    F618 &lt;= 40, "Mid-Age",
    F618 &gt; 40, "Old-Age"
)</f>
        <v>Mid-Age</v>
      </c>
      <c r="H618" s="3" t="s">
        <v>16</v>
      </c>
      <c r="I618" s="3">
        <v>1</v>
      </c>
      <c r="J618" s="3">
        <v>30</v>
      </c>
      <c r="K618" s="3">
        <v>30</v>
      </c>
      <c r="L618" s="3">
        <f t="shared" si="19"/>
        <v>0.87663040490966571</v>
      </c>
    </row>
    <row r="619" spans="1:12" x14ac:dyDescent="0.3">
      <c r="A619" s="3">
        <v>618</v>
      </c>
      <c r="B619" s="4">
        <v>44952</v>
      </c>
      <c r="C619" s="9" t="str">
        <f t="shared" si="18"/>
        <v>January</v>
      </c>
      <c r="D619" s="3" t="s">
        <v>631</v>
      </c>
      <c r="E619" s="3" t="s">
        <v>13</v>
      </c>
      <c r="F619" s="3">
        <v>27</v>
      </c>
      <c r="G619" s="8" t="str" cm="1">
        <f t="array" ref="G619">_xlfn.IFS(
    F619 &lt; 25, "Young",
    F619 &lt;= 40, "Mid-Age",
    F619 &gt; 40, "Old-Age"
)</f>
        <v>Mid-Age</v>
      </c>
      <c r="H619" s="3" t="s">
        <v>11</v>
      </c>
      <c r="I619" s="3">
        <v>1</v>
      </c>
      <c r="J619" s="3">
        <v>50</v>
      </c>
      <c r="K619" s="3">
        <v>50</v>
      </c>
      <c r="L619" s="3">
        <f t="shared" si="19"/>
        <v>0.87262081920741685</v>
      </c>
    </row>
    <row r="620" spans="1:12" x14ac:dyDescent="0.3">
      <c r="A620" s="3">
        <v>619</v>
      </c>
      <c r="B620" s="4">
        <v>45212</v>
      </c>
      <c r="C620" s="9" t="str">
        <f t="shared" si="18"/>
        <v>October</v>
      </c>
      <c r="D620" s="3" t="s">
        <v>632</v>
      </c>
      <c r="E620" s="3" t="s">
        <v>10</v>
      </c>
      <c r="F620" s="3">
        <v>47</v>
      </c>
      <c r="G620" s="8" t="str" cm="1">
        <f t="array" ref="G620">_xlfn.IFS(
    F620 &lt; 25, "Young",
    F620 &lt;= 40, "Mid-Age",
    F620 &gt; 40, "Old-Age"
)</f>
        <v>Old-Age</v>
      </c>
      <c r="H620" s="3" t="s">
        <v>16</v>
      </c>
      <c r="I620" s="3">
        <v>4</v>
      </c>
      <c r="J620" s="3">
        <v>25</v>
      </c>
      <c r="K620" s="3">
        <v>100</v>
      </c>
      <c r="L620" s="3">
        <f t="shared" si="19"/>
        <v>0.86854107089430643</v>
      </c>
    </row>
    <row r="621" spans="1:12" x14ac:dyDescent="0.3">
      <c r="A621" s="3">
        <v>620</v>
      </c>
      <c r="B621" s="4">
        <v>45054</v>
      </c>
      <c r="C621" s="9" t="str">
        <f t="shared" si="18"/>
        <v>May</v>
      </c>
      <c r="D621" s="3" t="s">
        <v>633</v>
      </c>
      <c r="E621" s="3" t="s">
        <v>10</v>
      </c>
      <c r="F621" s="3">
        <v>63</v>
      </c>
      <c r="G621" s="8" t="str" cm="1">
        <f t="array" ref="G621">_xlfn.IFS(
    F621 &lt; 25, "Young",
    F621 &lt;= 40, "Mid-Age",
    F621 &gt; 40, "Old-Age"
)</f>
        <v>Old-Age</v>
      </c>
      <c r="H621" s="3" t="s">
        <v>16</v>
      </c>
      <c r="I621" s="3">
        <v>3</v>
      </c>
      <c r="J621" s="3">
        <v>25</v>
      </c>
      <c r="K621" s="3">
        <v>75</v>
      </c>
      <c r="L621" s="3">
        <f t="shared" si="19"/>
        <v>0.86455470532861856</v>
      </c>
    </row>
    <row r="622" spans="1:12" x14ac:dyDescent="0.3">
      <c r="A622" s="3">
        <v>621</v>
      </c>
      <c r="B622" s="4">
        <v>44989</v>
      </c>
      <c r="C622" s="9" t="str">
        <f t="shared" si="18"/>
        <v>March</v>
      </c>
      <c r="D622" s="3" t="s">
        <v>634</v>
      </c>
      <c r="E622" s="3" t="s">
        <v>13</v>
      </c>
      <c r="F622" s="3">
        <v>40</v>
      </c>
      <c r="G622" s="8" t="str" cm="1">
        <f t="array" ref="G622">_xlfn.IFS(
    F622 &lt; 25, "Young",
    F622 &lt;= 40, "Mid-Age",
    F622 &gt; 40, "Old-Age"
)</f>
        <v>Mid-Age</v>
      </c>
      <c r="H622" s="3" t="s">
        <v>11</v>
      </c>
      <c r="I622" s="3">
        <v>2</v>
      </c>
      <c r="J622" s="3">
        <v>500</v>
      </c>
      <c r="K622" s="3">
        <v>1000</v>
      </c>
      <c r="L622" s="3">
        <f t="shared" si="19"/>
        <v>0.86055696741544874</v>
      </c>
    </row>
    <row r="623" spans="1:12" x14ac:dyDescent="0.3">
      <c r="A623" s="3">
        <v>622</v>
      </c>
      <c r="B623" s="4">
        <v>45160</v>
      </c>
      <c r="C623" s="9" t="str">
        <f t="shared" si="18"/>
        <v>August</v>
      </c>
      <c r="D623" s="3" t="s">
        <v>635</v>
      </c>
      <c r="E623" s="3" t="s">
        <v>13</v>
      </c>
      <c r="F623" s="3">
        <v>49</v>
      </c>
      <c r="G623" s="8" t="str" cm="1">
        <f t="array" ref="G623">_xlfn.IFS(
    F623 &lt; 25, "Young",
    F623 &lt;= 40, "Mid-Age",
    F623 &gt; 40, "Old-Age"
)</f>
        <v>Old-Age</v>
      </c>
      <c r="H623" s="3" t="s">
        <v>11</v>
      </c>
      <c r="I623" s="3">
        <v>3</v>
      </c>
      <c r="J623" s="3">
        <v>25</v>
      </c>
      <c r="K623" s="3">
        <v>75</v>
      </c>
      <c r="L623" s="3">
        <f t="shared" si="19"/>
        <v>0.86945900165598955</v>
      </c>
    </row>
    <row r="624" spans="1:12" x14ac:dyDescent="0.3">
      <c r="A624" s="3">
        <v>623</v>
      </c>
      <c r="B624" s="4">
        <v>44995</v>
      </c>
      <c r="C624" s="9" t="str">
        <f t="shared" si="18"/>
        <v>March</v>
      </c>
      <c r="D624" s="3" t="s">
        <v>636</v>
      </c>
      <c r="E624" s="3" t="s">
        <v>10</v>
      </c>
      <c r="F624" s="3">
        <v>34</v>
      </c>
      <c r="G624" s="8" t="str" cm="1">
        <f t="array" ref="G624">_xlfn.IFS(
    F624 &lt; 25, "Young",
    F624 &lt;= 40, "Mid-Age",
    F624 &gt; 40, "Old-Age"
)</f>
        <v>Mid-Age</v>
      </c>
      <c r="H624" s="3" t="s">
        <v>14</v>
      </c>
      <c r="I624" s="3">
        <v>3</v>
      </c>
      <c r="J624" s="3">
        <v>50</v>
      </c>
      <c r="K624" s="3">
        <v>150</v>
      </c>
      <c r="L624" s="3">
        <f t="shared" si="19"/>
        <v>0.86544339363405243</v>
      </c>
    </row>
    <row r="625" spans="1:12" x14ac:dyDescent="0.3">
      <c r="A625" s="3">
        <v>624</v>
      </c>
      <c r="B625" s="4">
        <v>45164</v>
      </c>
      <c r="C625" s="9" t="str">
        <f t="shared" si="18"/>
        <v>August</v>
      </c>
      <c r="D625" s="3" t="s">
        <v>637</v>
      </c>
      <c r="E625" s="3" t="s">
        <v>13</v>
      </c>
      <c r="F625" s="3">
        <v>34</v>
      </c>
      <c r="G625" s="8" t="str" cm="1">
        <f t="array" ref="G625">_xlfn.IFS(
    F625 &lt; 25, "Young",
    F625 &lt;= 40, "Mid-Age",
    F625 &gt; 40, "Old-Age"
)</f>
        <v>Mid-Age</v>
      </c>
      <c r="H625" s="3" t="s">
        <v>11</v>
      </c>
      <c r="I625" s="3">
        <v>3</v>
      </c>
      <c r="J625" s="3">
        <v>300</v>
      </c>
      <c r="K625" s="3">
        <v>900</v>
      </c>
      <c r="L625" s="3">
        <f t="shared" si="19"/>
        <v>0.86130612825137154</v>
      </c>
    </row>
    <row r="626" spans="1:12" x14ac:dyDescent="0.3">
      <c r="A626" s="3">
        <v>625</v>
      </c>
      <c r="B626" s="4">
        <v>45268</v>
      </c>
      <c r="C626" s="9" t="str">
        <f t="shared" si="18"/>
        <v>December</v>
      </c>
      <c r="D626" s="3" t="s">
        <v>638</v>
      </c>
      <c r="E626" s="3" t="s">
        <v>10</v>
      </c>
      <c r="F626" s="3">
        <v>31</v>
      </c>
      <c r="G626" s="8" t="str" cm="1">
        <f t="array" ref="G626">_xlfn.IFS(
    F626 &lt; 25, "Young",
    F626 &lt;= 40, "Mid-Age",
    F626 &gt; 40, "Old-Age"
)</f>
        <v>Mid-Age</v>
      </c>
      <c r="H626" s="3" t="s">
        <v>14</v>
      </c>
      <c r="I626" s="3">
        <v>1</v>
      </c>
      <c r="J626" s="3">
        <v>300</v>
      </c>
      <c r="K626" s="3">
        <v>300</v>
      </c>
      <c r="L626" s="3">
        <f t="shared" si="19"/>
        <v>0.86659766550588835</v>
      </c>
    </row>
    <row r="627" spans="1:12" x14ac:dyDescent="0.3">
      <c r="A627" s="3">
        <v>626</v>
      </c>
      <c r="B627" s="4">
        <v>45198</v>
      </c>
      <c r="C627" s="9" t="str">
        <f t="shared" si="18"/>
        <v>September</v>
      </c>
      <c r="D627" s="3" t="s">
        <v>639</v>
      </c>
      <c r="E627" s="3" t="s">
        <v>13</v>
      </c>
      <c r="F627" s="3">
        <v>26</v>
      </c>
      <c r="G627" s="8" t="str" cm="1">
        <f t="array" ref="G627">_xlfn.IFS(
    F627 &lt; 25, "Young",
    F627 &lt;= 40, "Mid-Age",
    F627 &gt; 40, "Old-Age"
)</f>
        <v>Mid-Age</v>
      </c>
      <c r="H627" s="3" t="s">
        <v>14</v>
      </c>
      <c r="I627" s="3">
        <v>4</v>
      </c>
      <c r="J627" s="3">
        <v>500</v>
      </c>
      <c r="K627" s="3">
        <v>2000</v>
      </c>
      <c r="L627" s="3">
        <f t="shared" si="19"/>
        <v>0.87191952710729503</v>
      </c>
    </row>
    <row r="628" spans="1:12" x14ac:dyDescent="0.3">
      <c r="A628" s="3">
        <v>627</v>
      </c>
      <c r="B628" s="4">
        <v>45213</v>
      </c>
      <c r="C628" s="9" t="str">
        <f t="shared" si="18"/>
        <v>October</v>
      </c>
      <c r="D628" s="3" t="s">
        <v>640</v>
      </c>
      <c r="E628" s="3" t="s">
        <v>10</v>
      </c>
      <c r="F628" s="3">
        <v>57</v>
      </c>
      <c r="G628" s="8" t="str" cm="1">
        <f t="array" ref="G628">_xlfn.IFS(
    F628 &lt; 25, "Young",
    F628 &lt;= 40, "Mid-Age",
    F628 &gt; 40, "Old-Age"
)</f>
        <v>Old-Age</v>
      </c>
      <c r="H628" s="3" t="s">
        <v>14</v>
      </c>
      <c r="I628" s="3">
        <v>1</v>
      </c>
      <c r="J628" s="3">
        <v>50</v>
      </c>
      <c r="K628" s="3">
        <v>50</v>
      </c>
      <c r="L628" s="3">
        <f t="shared" si="19"/>
        <v>0.88104495439500252</v>
      </c>
    </row>
    <row r="629" spans="1:12" x14ac:dyDescent="0.3">
      <c r="A629" s="3">
        <v>628</v>
      </c>
      <c r="B629" s="4">
        <v>45231</v>
      </c>
      <c r="C629" s="9" t="str">
        <f t="shared" si="18"/>
        <v>November</v>
      </c>
      <c r="D629" s="3" t="s">
        <v>641</v>
      </c>
      <c r="E629" s="3" t="s">
        <v>13</v>
      </c>
      <c r="F629" s="3">
        <v>19</v>
      </c>
      <c r="G629" s="8" t="str" cm="1">
        <f t="array" ref="G629">_xlfn.IFS(
    F629 &lt; 25, "Young",
    F629 &lt;= 40, "Mid-Age",
    F629 &gt; 40, "Old-Age"
)</f>
        <v>Young</v>
      </c>
      <c r="H629" s="3" t="s">
        <v>11</v>
      </c>
      <c r="I629" s="3">
        <v>4</v>
      </c>
      <c r="J629" s="3">
        <v>50</v>
      </c>
      <c r="K629" s="3">
        <v>200</v>
      </c>
      <c r="L629" s="3">
        <f t="shared" si="19"/>
        <v>0.87687022356045463</v>
      </c>
    </row>
    <row r="630" spans="1:12" x14ac:dyDescent="0.3">
      <c r="A630" s="3">
        <v>629</v>
      </c>
      <c r="B630" s="4">
        <v>45089</v>
      </c>
      <c r="C630" s="9" t="str">
        <f t="shared" si="18"/>
        <v>June</v>
      </c>
      <c r="D630" s="3" t="s">
        <v>642</v>
      </c>
      <c r="E630" s="3" t="s">
        <v>10</v>
      </c>
      <c r="F630" s="3">
        <v>62</v>
      </c>
      <c r="G630" s="8" t="str" cm="1">
        <f t="array" ref="G630">_xlfn.IFS(
    F630 &lt; 25, "Young",
    F630 &lt;= 40, "Mid-Age",
    F630 &gt; 40, "Old-Age"
)</f>
        <v>Old-Age</v>
      </c>
      <c r="H630" s="3" t="s">
        <v>16</v>
      </c>
      <c r="I630" s="3">
        <v>2</v>
      </c>
      <c r="J630" s="3">
        <v>25</v>
      </c>
      <c r="K630" s="3">
        <v>50</v>
      </c>
      <c r="L630" s="3">
        <f t="shared" si="19"/>
        <v>0.87268264088486358</v>
      </c>
    </row>
    <row r="631" spans="1:12" x14ac:dyDescent="0.3">
      <c r="A631" s="3">
        <v>630</v>
      </c>
      <c r="B631" s="4">
        <v>45153</v>
      </c>
      <c r="C631" s="9" t="str">
        <f t="shared" si="18"/>
        <v>August</v>
      </c>
      <c r="D631" s="3" t="s">
        <v>643</v>
      </c>
      <c r="E631" s="3" t="s">
        <v>10</v>
      </c>
      <c r="F631" s="3">
        <v>42</v>
      </c>
      <c r="G631" s="8" t="str" cm="1">
        <f t="array" ref="G631">_xlfn.IFS(
    F631 &lt; 25, "Young",
    F631 &lt;= 40, "Mid-Age",
    F631 &gt; 40, "Old-Age"
)</f>
        <v>Old-Age</v>
      </c>
      <c r="H631" s="3" t="s">
        <v>14</v>
      </c>
      <c r="I631" s="3">
        <v>2</v>
      </c>
      <c r="J631" s="3">
        <v>50</v>
      </c>
      <c r="K631" s="3">
        <v>100</v>
      </c>
      <c r="L631" s="3">
        <f t="shared" si="19"/>
        <v>0.86858941651593258</v>
      </c>
    </row>
    <row r="632" spans="1:12" x14ac:dyDescent="0.3">
      <c r="A632" s="3">
        <v>631</v>
      </c>
      <c r="B632" s="4">
        <v>45240</v>
      </c>
      <c r="C632" s="9" t="str">
        <f t="shared" si="18"/>
        <v>November</v>
      </c>
      <c r="D632" s="3" t="s">
        <v>644</v>
      </c>
      <c r="E632" s="3" t="s">
        <v>10</v>
      </c>
      <c r="F632" s="3">
        <v>56</v>
      </c>
      <c r="G632" s="8" t="str" cm="1">
        <f t="array" ref="G632">_xlfn.IFS(
    F632 &lt; 25, "Young",
    F632 &lt;= 40, "Mid-Age",
    F632 &gt; 40, "Old-Age"
)</f>
        <v>Old-Age</v>
      </c>
      <c r="H632" s="3" t="s">
        <v>16</v>
      </c>
      <c r="I632" s="3">
        <v>3</v>
      </c>
      <c r="J632" s="3">
        <v>30</v>
      </c>
      <c r="K632" s="3">
        <v>90</v>
      </c>
      <c r="L632" s="3">
        <f t="shared" si="19"/>
        <v>0.86437563758487845</v>
      </c>
    </row>
    <row r="633" spans="1:12" x14ac:dyDescent="0.3">
      <c r="A633" s="3">
        <v>632</v>
      </c>
      <c r="B633" s="4">
        <v>45185</v>
      </c>
      <c r="C633" s="9" t="str">
        <f t="shared" si="18"/>
        <v>September</v>
      </c>
      <c r="D633" s="3" t="s">
        <v>645</v>
      </c>
      <c r="E633" s="3" t="s">
        <v>13</v>
      </c>
      <c r="F633" s="3">
        <v>26</v>
      </c>
      <c r="G633" s="8" t="str" cm="1">
        <f t="array" ref="G633">_xlfn.IFS(
    F633 &lt; 25, "Young",
    F633 &lt;= 40, "Mid-Age",
    F633 &gt; 40, "Old-Age"
)</f>
        <v>Mid-Age</v>
      </c>
      <c r="H633" s="3" t="s">
        <v>16</v>
      </c>
      <c r="I633" s="3">
        <v>4</v>
      </c>
      <c r="J633" s="3">
        <v>25</v>
      </c>
      <c r="K633" s="3">
        <v>100</v>
      </c>
      <c r="L633" s="3">
        <f t="shared" si="19"/>
        <v>0.86020841753421695</v>
      </c>
    </row>
    <row r="634" spans="1:12" x14ac:dyDescent="0.3">
      <c r="A634" s="3">
        <v>633</v>
      </c>
      <c r="B634" s="4">
        <v>45145</v>
      </c>
      <c r="C634" s="9" t="str">
        <f t="shared" si="18"/>
        <v>August</v>
      </c>
      <c r="D634" s="3" t="s">
        <v>646</v>
      </c>
      <c r="E634" s="3" t="s">
        <v>10</v>
      </c>
      <c r="F634" s="3">
        <v>39</v>
      </c>
      <c r="G634" s="8" t="str" cm="1">
        <f t="array" ref="G634">_xlfn.IFS(
    F634 &lt; 25, "Young",
    F634 &lt;= 40, "Mid-Age",
    F634 &gt; 40, "Old-Age"
)</f>
        <v>Mid-Age</v>
      </c>
      <c r="H634" s="3" t="s">
        <v>11</v>
      </c>
      <c r="I634" s="3">
        <v>4</v>
      </c>
      <c r="J634" s="3">
        <v>30</v>
      </c>
      <c r="K634" s="3">
        <v>120</v>
      </c>
      <c r="L634" s="3">
        <f t="shared" si="19"/>
        <v>0.85607741249411073</v>
      </c>
    </row>
    <row r="635" spans="1:12" x14ac:dyDescent="0.3">
      <c r="A635" s="3">
        <v>634</v>
      </c>
      <c r="B635" s="4">
        <v>45207</v>
      </c>
      <c r="C635" s="9" t="str">
        <f t="shared" si="18"/>
        <v>October</v>
      </c>
      <c r="D635" s="3" t="s">
        <v>647</v>
      </c>
      <c r="E635" s="3" t="s">
        <v>10</v>
      </c>
      <c r="F635" s="3">
        <v>60</v>
      </c>
      <c r="G635" s="8" t="str" cm="1">
        <f t="array" ref="G635">_xlfn.IFS(
    F635 &lt; 25, "Young",
    F635 &lt;= 40, "Mid-Age",
    F635 &gt; 40, "Old-Age"
)</f>
        <v>Old-Age</v>
      </c>
      <c r="H635" s="3" t="s">
        <v>16</v>
      </c>
      <c r="I635" s="3">
        <v>4</v>
      </c>
      <c r="J635" s="3">
        <v>500</v>
      </c>
      <c r="K635" s="3">
        <v>2000</v>
      </c>
      <c r="L635" s="3">
        <f t="shared" si="19"/>
        <v>0.85188495504162653</v>
      </c>
    </row>
    <row r="636" spans="1:12" x14ac:dyDescent="0.3">
      <c r="A636" s="3">
        <v>635</v>
      </c>
      <c r="B636" s="4">
        <v>45155</v>
      </c>
      <c r="C636" s="9" t="str">
        <f t="shared" si="18"/>
        <v>August</v>
      </c>
      <c r="D636" s="3" t="s">
        <v>648</v>
      </c>
      <c r="E636" s="3" t="s">
        <v>13</v>
      </c>
      <c r="F636" s="3">
        <v>63</v>
      </c>
      <c r="G636" s="8" t="str" cm="1">
        <f t="array" ref="G636">_xlfn.IFS(
    F636 &lt; 25, "Young",
    F636 &lt;= 40, "Mid-Age",
    F636 &gt; 40, "Old-Age"
)</f>
        <v>Old-Age</v>
      </c>
      <c r="H636" s="3" t="s">
        <v>16</v>
      </c>
      <c r="I636" s="3">
        <v>3</v>
      </c>
      <c r="J636" s="3">
        <v>300</v>
      </c>
      <c r="K636" s="3">
        <v>900</v>
      </c>
      <c r="L636" s="3">
        <f t="shared" si="19"/>
        <v>0.86103796453751791</v>
      </c>
    </row>
    <row r="637" spans="1:12" x14ac:dyDescent="0.3">
      <c r="A637" s="3">
        <v>636</v>
      </c>
      <c r="B637" s="4">
        <v>45008</v>
      </c>
      <c r="C637" s="9" t="str">
        <f t="shared" si="18"/>
        <v>March</v>
      </c>
      <c r="D637" s="3" t="s">
        <v>649</v>
      </c>
      <c r="E637" s="3" t="s">
        <v>13</v>
      </c>
      <c r="F637" s="3">
        <v>21</v>
      </c>
      <c r="G637" s="8" t="str" cm="1">
        <f t="array" ref="G637">_xlfn.IFS(
    F637 &lt; 25, "Young",
    F637 &lt;= 40, "Mid-Age",
    F637 &gt; 40, "Old-Age"
)</f>
        <v>Young</v>
      </c>
      <c r="H637" s="3" t="s">
        <v>11</v>
      </c>
      <c r="I637" s="3">
        <v>3</v>
      </c>
      <c r="J637" s="3">
        <v>500</v>
      </c>
      <c r="K637" s="3">
        <v>1500</v>
      </c>
      <c r="L637" s="3">
        <f t="shared" si="19"/>
        <v>0.86648908660952062</v>
      </c>
    </row>
    <row r="638" spans="1:12" x14ac:dyDescent="0.3">
      <c r="A638" s="3">
        <v>637</v>
      </c>
      <c r="B638" s="4">
        <v>45170</v>
      </c>
      <c r="C638" s="9" t="str">
        <f t="shared" si="18"/>
        <v>September</v>
      </c>
      <c r="D638" s="3" t="s">
        <v>650</v>
      </c>
      <c r="E638" s="3" t="s">
        <v>10</v>
      </c>
      <c r="F638" s="3">
        <v>43</v>
      </c>
      <c r="G638" s="8" t="str" cm="1">
        <f t="array" ref="G638">_xlfn.IFS(
    F638 &lt; 25, "Young",
    F638 &lt;= 40, "Mid-Age",
    F638 &gt; 40, "Old-Age"
)</f>
        <v>Old-Age</v>
      </c>
      <c r="H638" s="3" t="s">
        <v>14</v>
      </c>
      <c r="I638" s="3">
        <v>2</v>
      </c>
      <c r="J638" s="3">
        <v>300</v>
      </c>
      <c r="K638" s="3">
        <v>600</v>
      </c>
      <c r="L638" s="3">
        <f t="shared" si="19"/>
        <v>0.87580662725881187</v>
      </c>
    </row>
    <row r="639" spans="1:12" x14ac:dyDescent="0.3">
      <c r="A639" s="3">
        <v>638</v>
      </c>
      <c r="B639" s="4">
        <v>45157</v>
      </c>
      <c r="C639" s="9" t="str">
        <f t="shared" si="18"/>
        <v>August</v>
      </c>
      <c r="D639" s="3" t="s">
        <v>651</v>
      </c>
      <c r="E639" s="3" t="s">
        <v>10</v>
      </c>
      <c r="F639" s="3">
        <v>46</v>
      </c>
      <c r="G639" s="8" t="str" cm="1">
        <f t="array" ref="G639">_xlfn.IFS(
    F639 &lt; 25, "Young",
    F639 &lt;= 40, "Mid-Age",
    F639 &gt; 40, "Old-Age"
)</f>
        <v>Old-Age</v>
      </c>
      <c r="H639" s="3" t="s">
        <v>16</v>
      </c>
      <c r="I639" s="3">
        <v>1</v>
      </c>
      <c r="J639" s="3">
        <v>500</v>
      </c>
      <c r="K639" s="3">
        <v>500</v>
      </c>
      <c r="L639" s="3">
        <f t="shared" si="19"/>
        <v>0.88137689034614097</v>
      </c>
    </row>
    <row r="640" spans="1:12" x14ac:dyDescent="0.3">
      <c r="A640" s="3">
        <v>639</v>
      </c>
      <c r="B640" s="4">
        <v>45059</v>
      </c>
      <c r="C640" s="9" t="str">
        <f t="shared" si="18"/>
        <v>May</v>
      </c>
      <c r="D640" s="3" t="s">
        <v>652</v>
      </c>
      <c r="E640" s="3" t="s">
        <v>13</v>
      </c>
      <c r="F640" s="3">
        <v>62</v>
      </c>
      <c r="G640" s="8" t="str" cm="1">
        <f t="array" ref="G640">_xlfn.IFS(
    F640 &lt; 25, "Young",
    F640 &lt;= 40, "Mid-Age",
    F640 &gt; 40, "Old-Age"
)</f>
        <v>Old-Age</v>
      </c>
      <c r="H640" s="3" t="s">
        <v>11</v>
      </c>
      <c r="I640" s="3">
        <v>4</v>
      </c>
      <c r="J640" s="3">
        <v>50</v>
      </c>
      <c r="K640" s="3">
        <v>200</v>
      </c>
      <c r="L640" s="3">
        <f t="shared" si="19"/>
        <v>0.89086485350365807</v>
      </c>
    </row>
    <row r="641" spans="1:12" x14ac:dyDescent="0.3">
      <c r="A641" s="3">
        <v>640</v>
      </c>
      <c r="B641" s="4">
        <v>45053</v>
      </c>
      <c r="C641" s="9" t="str">
        <f t="shared" si="18"/>
        <v>May</v>
      </c>
      <c r="D641" s="3" t="s">
        <v>653</v>
      </c>
      <c r="E641" s="3" t="s">
        <v>13</v>
      </c>
      <c r="F641" s="3">
        <v>51</v>
      </c>
      <c r="G641" s="8" t="str" cm="1">
        <f t="array" ref="G641">_xlfn.IFS(
    F641 &lt; 25, "Young",
    F641 &lt;= 40, "Mid-Age",
    F641 &gt; 40, "Old-Age"
)</f>
        <v>Old-Age</v>
      </c>
      <c r="H641" s="3" t="s">
        <v>16</v>
      </c>
      <c r="I641" s="3">
        <v>4</v>
      </c>
      <c r="J641" s="3">
        <v>30</v>
      </c>
      <c r="K641" s="3">
        <v>120</v>
      </c>
      <c r="L641" s="3">
        <f t="shared" si="19"/>
        <v>0.88655535401872376</v>
      </c>
    </row>
    <row r="642" spans="1:12" x14ac:dyDescent="0.3">
      <c r="A642" s="3">
        <v>641</v>
      </c>
      <c r="B642" s="4">
        <v>45253</v>
      </c>
      <c r="C642" s="9" t="str">
        <f t="shared" ref="C642:C705" si="20">TEXT(B642,"mmmm")</f>
        <v>November</v>
      </c>
      <c r="D642" s="3" t="s">
        <v>654</v>
      </c>
      <c r="E642" s="3" t="s">
        <v>13</v>
      </c>
      <c r="F642" s="3">
        <v>40</v>
      </c>
      <c r="G642" s="8" t="str" cm="1">
        <f t="array" ref="G642">_xlfn.IFS(
    F642 &lt; 25, "Young",
    F642 &lt;= 40, "Mid-Age",
    F642 &gt; 40, "Old-Age"
)</f>
        <v>Mid-Age</v>
      </c>
      <c r="H642" s="3" t="s">
        <v>16</v>
      </c>
      <c r="I642" s="3">
        <v>1</v>
      </c>
      <c r="J642" s="3">
        <v>300</v>
      </c>
      <c r="K642" s="3">
        <v>300</v>
      </c>
      <c r="L642" s="3">
        <f t="shared" ref="L642:L705" si="21">SKEW(J642:J1641)</f>
        <v>0.88229266280645646</v>
      </c>
    </row>
    <row r="643" spans="1:12" x14ac:dyDescent="0.3">
      <c r="A643" s="3">
        <v>642</v>
      </c>
      <c r="B643" s="4">
        <v>45068</v>
      </c>
      <c r="C643" s="9" t="str">
        <f t="shared" si="20"/>
        <v>May</v>
      </c>
      <c r="D643" s="3" t="s">
        <v>655</v>
      </c>
      <c r="E643" s="3" t="s">
        <v>13</v>
      </c>
      <c r="F643" s="3">
        <v>54</v>
      </c>
      <c r="G643" s="8" t="str" cm="1">
        <f t="array" ref="G643">_xlfn.IFS(
    F643 &lt; 25, "Young",
    F643 &lt;= 40, "Mid-Age",
    F643 &gt; 40, "Old-Age"
)</f>
        <v>Old-Age</v>
      </c>
      <c r="H643" s="3" t="s">
        <v>14</v>
      </c>
      <c r="I643" s="3">
        <v>4</v>
      </c>
      <c r="J643" s="3">
        <v>25</v>
      </c>
      <c r="K643" s="3">
        <v>100</v>
      </c>
      <c r="L643" s="3">
        <f t="shared" si="21"/>
        <v>0.8879660606409191</v>
      </c>
    </row>
    <row r="644" spans="1:12" x14ac:dyDescent="0.3">
      <c r="A644" s="3">
        <v>643</v>
      </c>
      <c r="B644" s="4">
        <v>45193</v>
      </c>
      <c r="C644" s="9" t="str">
        <f t="shared" si="20"/>
        <v>September</v>
      </c>
      <c r="D644" s="3" t="s">
        <v>656</v>
      </c>
      <c r="E644" s="3" t="s">
        <v>13</v>
      </c>
      <c r="F644" s="3">
        <v>28</v>
      </c>
      <c r="G644" s="8" t="str" cm="1">
        <f t="array" ref="G644">_xlfn.IFS(
    F644 &lt; 25, "Young",
    F644 &lt;= 40, "Mid-Age",
    F644 &gt; 40, "Old-Age"
)</f>
        <v>Mid-Age</v>
      </c>
      <c r="H644" s="3" t="s">
        <v>16</v>
      </c>
      <c r="I644" s="3">
        <v>3</v>
      </c>
      <c r="J644" s="3">
        <v>30</v>
      </c>
      <c r="K644" s="3">
        <v>90</v>
      </c>
      <c r="L644" s="3">
        <f t="shared" si="21"/>
        <v>0.88372941749653466</v>
      </c>
    </row>
    <row r="645" spans="1:12" x14ac:dyDescent="0.3">
      <c r="A645" s="3">
        <v>644</v>
      </c>
      <c r="B645" s="4">
        <v>45175</v>
      </c>
      <c r="C645" s="9" t="str">
        <f t="shared" si="20"/>
        <v>September</v>
      </c>
      <c r="D645" s="3" t="s">
        <v>657</v>
      </c>
      <c r="E645" s="3" t="s">
        <v>10</v>
      </c>
      <c r="F645" s="3">
        <v>23</v>
      </c>
      <c r="G645" s="8" t="str" cm="1">
        <f t="array" ref="G645">_xlfn.IFS(
    F645 &lt; 25, "Young",
    F645 &lt;= 40, "Mid-Age",
    F645 &gt; 40, "Old-Age"
)</f>
        <v>Young</v>
      </c>
      <c r="H645" s="3" t="s">
        <v>11</v>
      </c>
      <c r="I645" s="3">
        <v>3</v>
      </c>
      <c r="J645" s="3">
        <v>25</v>
      </c>
      <c r="K645" s="3">
        <v>75</v>
      </c>
      <c r="L645" s="3">
        <f t="shared" si="21"/>
        <v>0.87942959123473063</v>
      </c>
    </row>
    <row r="646" spans="1:12" x14ac:dyDescent="0.3">
      <c r="A646" s="3">
        <v>645</v>
      </c>
      <c r="B646" s="4">
        <v>45247</v>
      </c>
      <c r="C646" s="9" t="str">
        <f t="shared" si="20"/>
        <v>November</v>
      </c>
      <c r="D646" s="3" t="s">
        <v>658</v>
      </c>
      <c r="E646" s="3" t="s">
        <v>13</v>
      </c>
      <c r="F646" s="3">
        <v>35</v>
      </c>
      <c r="G646" s="8" t="str" cm="1">
        <f t="array" ref="G646">_xlfn.IFS(
    F646 &lt; 25, "Young",
    F646 &lt;= 40, "Mid-Age",
    F646 &gt; 40, "Old-Age"
)</f>
        <v>Mid-Age</v>
      </c>
      <c r="H646" s="3" t="s">
        <v>16</v>
      </c>
      <c r="I646" s="3">
        <v>4</v>
      </c>
      <c r="J646" s="3">
        <v>30</v>
      </c>
      <c r="K646" s="3">
        <v>120</v>
      </c>
      <c r="L646" s="3">
        <f t="shared" si="21"/>
        <v>0.87516702389762657</v>
      </c>
    </row>
    <row r="647" spans="1:12" x14ac:dyDescent="0.3">
      <c r="A647" s="3">
        <v>646</v>
      </c>
      <c r="B647" s="4">
        <v>45049</v>
      </c>
      <c r="C647" s="9" t="str">
        <f t="shared" si="20"/>
        <v>May</v>
      </c>
      <c r="D647" s="3" t="s">
        <v>659</v>
      </c>
      <c r="E647" s="3" t="s">
        <v>10</v>
      </c>
      <c r="F647" s="3">
        <v>38</v>
      </c>
      <c r="G647" s="8" t="str" cm="1">
        <f t="array" ref="G647">_xlfn.IFS(
    F647 &lt; 25, "Young",
    F647 &lt;= 40, "Mid-Age",
    F647 &gt; 40, "Old-Age"
)</f>
        <v>Mid-Age</v>
      </c>
      <c r="H647" s="3" t="s">
        <v>14</v>
      </c>
      <c r="I647" s="3">
        <v>3</v>
      </c>
      <c r="J647" s="3">
        <v>30</v>
      </c>
      <c r="K647" s="3">
        <v>90</v>
      </c>
      <c r="L647" s="3">
        <f t="shared" si="21"/>
        <v>0.87084052899946662</v>
      </c>
    </row>
    <row r="648" spans="1:12" x14ac:dyDescent="0.3">
      <c r="A648" s="3">
        <v>647</v>
      </c>
      <c r="B648" s="4">
        <v>45067</v>
      </c>
      <c r="C648" s="9" t="str">
        <f t="shared" si="20"/>
        <v>May</v>
      </c>
      <c r="D648" s="3" t="s">
        <v>660</v>
      </c>
      <c r="E648" s="3" t="s">
        <v>10</v>
      </c>
      <c r="F648" s="3">
        <v>59</v>
      </c>
      <c r="G648" s="8" t="str" cm="1">
        <f t="array" ref="G648">_xlfn.IFS(
    F648 &lt; 25, "Young",
    F648 &lt;= 40, "Mid-Age",
    F648 &gt; 40, "Old-Age"
)</f>
        <v>Old-Age</v>
      </c>
      <c r="H648" s="3" t="s">
        <v>14</v>
      </c>
      <c r="I648" s="3">
        <v>3</v>
      </c>
      <c r="J648" s="3">
        <v>500</v>
      </c>
      <c r="K648" s="3">
        <v>1500</v>
      </c>
      <c r="L648" s="3">
        <f t="shared" si="21"/>
        <v>0.86650042294076912</v>
      </c>
    </row>
    <row r="649" spans="1:12" x14ac:dyDescent="0.3">
      <c r="A649" s="3">
        <v>648</v>
      </c>
      <c r="B649" s="4">
        <v>45152</v>
      </c>
      <c r="C649" s="9" t="str">
        <f t="shared" si="20"/>
        <v>August</v>
      </c>
      <c r="D649" s="3" t="s">
        <v>661</v>
      </c>
      <c r="E649" s="3" t="s">
        <v>10</v>
      </c>
      <c r="F649" s="3">
        <v>53</v>
      </c>
      <c r="G649" s="8" t="str" cm="1">
        <f t="array" ref="G649">_xlfn.IFS(
    F649 &lt; 25, "Young",
    F649 &lt;= 40, "Mid-Age",
    F649 &gt; 40, "Old-Age"
)</f>
        <v>Old-Age</v>
      </c>
      <c r="H649" s="3" t="s">
        <v>11</v>
      </c>
      <c r="I649" s="3">
        <v>4</v>
      </c>
      <c r="J649" s="3">
        <v>300</v>
      </c>
      <c r="K649" s="3">
        <v>1200</v>
      </c>
      <c r="L649" s="3">
        <f t="shared" si="21"/>
        <v>0.87610990165987257</v>
      </c>
    </row>
    <row r="650" spans="1:12" x14ac:dyDescent="0.3">
      <c r="A650" s="3">
        <v>649</v>
      </c>
      <c r="B650" s="4">
        <v>44966</v>
      </c>
      <c r="C650" s="9" t="str">
        <f t="shared" si="20"/>
        <v>February</v>
      </c>
      <c r="D650" s="3" t="s">
        <v>662</v>
      </c>
      <c r="E650" s="3" t="s">
        <v>13</v>
      </c>
      <c r="F650" s="3">
        <v>58</v>
      </c>
      <c r="G650" s="8" t="str" cm="1">
        <f t="array" ref="G650">_xlfn.IFS(
    F650 &lt; 25, "Young",
    F650 &lt;= 40, "Mid-Age",
    F650 &gt; 40, "Old-Age"
)</f>
        <v>Old-Age</v>
      </c>
      <c r="H650" s="3" t="s">
        <v>14</v>
      </c>
      <c r="I650" s="3">
        <v>2</v>
      </c>
      <c r="J650" s="3">
        <v>300</v>
      </c>
      <c r="K650" s="3">
        <v>600</v>
      </c>
      <c r="L650" s="3">
        <f t="shared" si="21"/>
        <v>0.88185436386353266</v>
      </c>
    </row>
    <row r="651" spans="1:12" x14ac:dyDescent="0.3">
      <c r="A651" s="3">
        <v>650</v>
      </c>
      <c r="B651" s="4">
        <v>45292</v>
      </c>
      <c r="C651" s="9" t="str">
        <f t="shared" si="20"/>
        <v>January</v>
      </c>
      <c r="D651" s="3" t="s">
        <v>663</v>
      </c>
      <c r="E651" s="3" t="s">
        <v>10</v>
      </c>
      <c r="F651" s="3">
        <v>55</v>
      </c>
      <c r="G651" s="8" t="str" cm="1">
        <f t="array" ref="G651">_xlfn.IFS(
    F651 &lt; 25, "Young",
    F651 &lt;= 40, "Mid-Age",
    F651 &gt; 40, "Old-Age"
)</f>
        <v>Old-Age</v>
      </c>
      <c r="H651" s="3" t="s">
        <v>16</v>
      </c>
      <c r="I651" s="3">
        <v>1</v>
      </c>
      <c r="J651" s="3">
        <v>30</v>
      </c>
      <c r="K651" s="3">
        <v>30</v>
      </c>
      <c r="L651" s="3">
        <f t="shared" si="21"/>
        <v>0.88763443534117881</v>
      </c>
    </row>
    <row r="652" spans="1:12" x14ac:dyDescent="0.3">
      <c r="A652" s="3">
        <v>651</v>
      </c>
      <c r="B652" s="4">
        <v>45073</v>
      </c>
      <c r="C652" s="9" t="str">
        <f t="shared" si="20"/>
        <v>May</v>
      </c>
      <c r="D652" s="3" t="s">
        <v>664</v>
      </c>
      <c r="E652" s="3" t="s">
        <v>10</v>
      </c>
      <c r="F652" s="3">
        <v>51</v>
      </c>
      <c r="G652" s="8" t="str" cm="1">
        <f t="array" ref="G652">_xlfn.IFS(
    F652 &lt; 25, "Young",
    F652 &lt;= 40, "Mid-Age",
    F652 &gt; 40, "Old-Age"
)</f>
        <v>Old-Age</v>
      </c>
      <c r="H652" s="3" t="s">
        <v>14</v>
      </c>
      <c r="I652" s="3">
        <v>3</v>
      </c>
      <c r="J652" s="3">
        <v>50</v>
      </c>
      <c r="K652" s="3">
        <v>150</v>
      </c>
      <c r="L652" s="3">
        <f t="shared" si="21"/>
        <v>0.88324990576448248</v>
      </c>
    </row>
    <row r="653" spans="1:12" x14ac:dyDescent="0.3">
      <c r="A653" s="3">
        <v>652</v>
      </c>
      <c r="B653" s="4">
        <v>45047</v>
      </c>
      <c r="C653" s="9" t="str">
        <f t="shared" si="20"/>
        <v>May</v>
      </c>
      <c r="D653" s="3" t="s">
        <v>665</v>
      </c>
      <c r="E653" s="3" t="s">
        <v>13</v>
      </c>
      <c r="F653" s="3">
        <v>34</v>
      </c>
      <c r="G653" s="8" t="str" cm="1">
        <f t="array" ref="G653">_xlfn.IFS(
    F653 &lt; 25, "Young",
    F653 &lt;= 40, "Mid-Age",
    F653 &gt; 40, "Old-Age"
)</f>
        <v>Mid-Age</v>
      </c>
      <c r="H653" s="3" t="s">
        <v>11</v>
      </c>
      <c r="I653" s="3">
        <v>2</v>
      </c>
      <c r="J653" s="3">
        <v>50</v>
      </c>
      <c r="K653" s="3">
        <v>100</v>
      </c>
      <c r="L653" s="3">
        <f t="shared" si="21"/>
        <v>0.87878881618654514</v>
      </c>
    </row>
    <row r="654" spans="1:12" x14ac:dyDescent="0.3">
      <c r="A654" s="3">
        <v>653</v>
      </c>
      <c r="B654" s="4">
        <v>45066</v>
      </c>
      <c r="C654" s="9" t="str">
        <f t="shared" si="20"/>
        <v>May</v>
      </c>
      <c r="D654" s="3" t="s">
        <v>666</v>
      </c>
      <c r="E654" s="3" t="s">
        <v>10</v>
      </c>
      <c r="F654" s="3">
        <v>54</v>
      </c>
      <c r="G654" s="8" t="str" cm="1">
        <f t="array" ref="G654">_xlfn.IFS(
    F654 &lt; 25, "Young",
    F654 &lt;= 40, "Mid-Age",
    F654 &gt; 40, "Old-Age"
)</f>
        <v>Old-Age</v>
      </c>
      <c r="H654" s="3" t="s">
        <v>14</v>
      </c>
      <c r="I654" s="3">
        <v>3</v>
      </c>
      <c r="J654" s="3">
        <v>25</v>
      </c>
      <c r="K654" s="3">
        <v>75</v>
      </c>
      <c r="L654" s="3">
        <f t="shared" si="21"/>
        <v>0.87431305497486411</v>
      </c>
    </row>
    <row r="655" spans="1:12" x14ac:dyDescent="0.3">
      <c r="A655" s="3">
        <v>654</v>
      </c>
      <c r="B655" s="4">
        <v>45098</v>
      </c>
      <c r="C655" s="9" t="str">
        <f t="shared" si="20"/>
        <v>June</v>
      </c>
      <c r="D655" s="3" t="s">
        <v>667</v>
      </c>
      <c r="E655" s="3" t="s">
        <v>10</v>
      </c>
      <c r="F655" s="3">
        <v>42</v>
      </c>
      <c r="G655" s="8" t="str" cm="1">
        <f t="array" ref="G655">_xlfn.IFS(
    F655 &lt; 25, "Young",
    F655 &lt;= 40, "Mid-Age",
    F655 &gt; 40, "Old-Age"
)</f>
        <v>Old-Age</v>
      </c>
      <c r="H655" s="3" t="s">
        <v>14</v>
      </c>
      <c r="I655" s="3">
        <v>3</v>
      </c>
      <c r="J655" s="3">
        <v>25</v>
      </c>
      <c r="K655" s="3">
        <v>75</v>
      </c>
      <c r="L655" s="3">
        <f t="shared" si="21"/>
        <v>0.86993629985006626</v>
      </c>
    </row>
    <row r="656" spans="1:12" x14ac:dyDescent="0.3">
      <c r="A656" s="3">
        <v>655</v>
      </c>
      <c r="B656" s="4">
        <v>45090</v>
      </c>
      <c r="C656" s="9" t="str">
        <f t="shared" si="20"/>
        <v>June</v>
      </c>
      <c r="D656" s="3" t="s">
        <v>668</v>
      </c>
      <c r="E656" s="3" t="s">
        <v>13</v>
      </c>
      <c r="F656" s="3">
        <v>55</v>
      </c>
      <c r="G656" s="8" t="str" cm="1">
        <f t="array" ref="G656">_xlfn.IFS(
    F656 &lt; 25, "Young",
    F656 &lt;= 40, "Mid-Age",
    F656 &gt; 40, "Old-Age"
)</f>
        <v>Old-Age</v>
      </c>
      <c r="H656" s="3" t="s">
        <v>14</v>
      </c>
      <c r="I656" s="3">
        <v>1</v>
      </c>
      <c r="J656" s="3">
        <v>500</v>
      </c>
      <c r="K656" s="3">
        <v>500</v>
      </c>
      <c r="L656" s="3">
        <f t="shared" si="21"/>
        <v>0.86554584599456985</v>
      </c>
    </row>
    <row r="657" spans="1:12" x14ac:dyDescent="0.3">
      <c r="A657" s="3">
        <v>656</v>
      </c>
      <c r="B657" s="4">
        <v>45203</v>
      </c>
      <c r="C657" s="9" t="str">
        <f t="shared" si="20"/>
        <v>October</v>
      </c>
      <c r="D657" s="3" t="s">
        <v>669</v>
      </c>
      <c r="E657" s="3" t="s">
        <v>10</v>
      </c>
      <c r="F657" s="3">
        <v>29</v>
      </c>
      <c r="G657" s="8" t="str" cm="1">
        <f t="array" ref="G657">_xlfn.IFS(
    F657 &lt; 25, "Young",
    F657 &lt;= 40, "Mid-Age",
    F657 &gt; 40, "Old-Age"
)</f>
        <v>Mid-Age</v>
      </c>
      <c r="H657" s="3" t="s">
        <v>11</v>
      </c>
      <c r="I657" s="3">
        <v>3</v>
      </c>
      <c r="J657" s="3">
        <v>30</v>
      </c>
      <c r="K657" s="3">
        <v>90</v>
      </c>
      <c r="L657" s="3">
        <f t="shared" si="21"/>
        <v>0.87539113567955007</v>
      </c>
    </row>
    <row r="658" spans="1:12" x14ac:dyDescent="0.3">
      <c r="A658" s="3">
        <v>657</v>
      </c>
      <c r="B658" s="4">
        <v>44968</v>
      </c>
      <c r="C658" s="9" t="str">
        <f t="shared" si="20"/>
        <v>February</v>
      </c>
      <c r="D658" s="3" t="s">
        <v>670</v>
      </c>
      <c r="E658" s="3" t="s">
        <v>10</v>
      </c>
      <c r="F658" s="3">
        <v>40</v>
      </c>
      <c r="G658" s="8" t="str" cm="1">
        <f t="array" ref="G658">_xlfn.IFS(
    F658 &lt; 25, "Young",
    F658 &lt;= 40, "Mid-Age",
    F658 &gt; 40, "Old-Age"
)</f>
        <v>Mid-Age</v>
      </c>
      <c r="H658" s="3" t="s">
        <v>14</v>
      </c>
      <c r="I658" s="3">
        <v>1</v>
      </c>
      <c r="J658" s="3">
        <v>25</v>
      </c>
      <c r="K658" s="3">
        <v>25</v>
      </c>
      <c r="L658" s="3">
        <f t="shared" si="21"/>
        <v>0.87092641750274402</v>
      </c>
    </row>
    <row r="659" spans="1:12" x14ac:dyDescent="0.3">
      <c r="A659" s="3">
        <v>658</v>
      </c>
      <c r="B659" s="4">
        <v>44997</v>
      </c>
      <c r="C659" s="9" t="str">
        <f t="shared" si="20"/>
        <v>March</v>
      </c>
      <c r="D659" s="3" t="s">
        <v>671</v>
      </c>
      <c r="E659" s="3" t="s">
        <v>10</v>
      </c>
      <c r="F659" s="3">
        <v>59</v>
      </c>
      <c r="G659" s="8" t="str" cm="1">
        <f t="array" ref="G659">_xlfn.IFS(
    F659 &lt; 25, "Young",
    F659 &lt;= 40, "Mid-Age",
    F659 &gt; 40, "Old-Age"
)</f>
        <v>Old-Age</v>
      </c>
      <c r="H659" s="3" t="s">
        <v>14</v>
      </c>
      <c r="I659" s="3">
        <v>1</v>
      </c>
      <c r="J659" s="3">
        <v>25</v>
      </c>
      <c r="K659" s="3">
        <v>25</v>
      </c>
      <c r="L659" s="3">
        <f t="shared" si="21"/>
        <v>0.86650012698549383</v>
      </c>
    </row>
    <row r="660" spans="1:12" x14ac:dyDescent="0.3">
      <c r="A660" s="3">
        <v>659</v>
      </c>
      <c r="B660" s="4">
        <v>45004</v>
      </c>
      <c r="C660" s="9" t="str">
        <f t="shared" si="20"/>
        <v>March</v>
      </c>
      <c r="D660" s="3" t="s">
        <v>672</v>
      </c>
      <c r="E660" s="3" t="s">
        <v>13</v>
      </c>
      <c r="F660" s="3">
        <v>39</v>
      </c>
      <c r="G660" s="8" t="str" cm="1">
        <f t="array" ref="G660">_xlfn.IFS(
    F660 &lt; 25, "Young",
    F660 &lt;= 40, "Mid-Age",
    F660 &gt; 40, "Old-Age"
)</f>
        <v>Mid-Age</v>
      </c>
      <c r="H660" s="3" t="s">
        <v>16</v>
      </c>
      <c r="I660" s="3">
        <v>1</v>
      </c>
      <c r="J660" s="3">
        <v>30</v>
      </c>
      <c r="K660" s="3">
        <v>30</v>
      </c>
      <c r="L660" s="3">
        <f t="shared" si="21"/>
        <v>0.86205982056302632</v>
      </c>
    </row>
    <row r="661" spans="1:12" x14ac:dyDescent="0.3">
      <c r="A661" s="3">
        <v>660</v>
      </c>
      <c r="B661" s="4">
        <v>45045</v>
      </c>
      <c r="C661" s="9" t="str">
        <f t="shared" si="20"/>
        <v>April</v>
      </c>
      <c r="D661" s="3" t="s">
        <v>673</v>
      </c>
      <c r="E661" s="3" t="s">
        <v>13</v>
      </c>
      <c r="F661" s="3">
        <v>38</v>
      </c>
      <c r="G661" s="8" t="str" cm="1">
        <f t="array" ref="G661">_xlfn.IFS(
    F661 &lt; 25, "Young",
    F661 &lt;= 40, "Mid-Age",
    F661 &gt; 40, "Old-Age"
)</f>
        <v>Mid-Age</v>
      </c>
      <c r="H661" s="3" t="s">
        <v>11</v>
      </c>
      <c r="I661" s="3">
        <v>2</v>
      </c>
      <c r="J661" s="3">
        <v>500</v>
      </c>
      <c r="K661" s="3">
        <v>1000</v>
      </c>
      <c r="L661" s="3">
        <f t="shared" si="21"/>
        <v>0.85755177529291515</v>
      </c>
    </row>
    <row r="662" spans="1:12" x14ac:dyDescent="0.3">
      <c r="A662" s="3">
        <v>661</v>
      </c>
      <c r="B662" s="4">
        <v>45123</v>
      </c>
      <c r="C662" s="9" t="str">
        <f t="shared" si="20"/>
        <v>July</v>
      </c>
      <c r="D662" s="3" t="s">
        <v>674</v>
      </c>
      <c r="E662" s="3" t="s">
        <v>13</v>
      </c>
      <c r="F662" s="3">
        <v>44</v>
      </c>
      <c r="G662" s="8" t="str" cm="1">
        <f t="array" ref="G662">_xlfn.IFS(
    F662 &lt; 25, "Young",
    F662 &lt;= 40, "Mid-Age",
    F662 &gt; 40, "Old-Age"
)</f>
        <v>Old-Age</v>
      </c>
      <c r="H662" s="3" t="s">
        <v>14</v>
      </c>
      <c r="I662" s="3">
        <v>4</v>
      </c>
      <c r="J662" s="3">
        <v>25</v>
      </c>
      <c r="K662" s="3">
        <v>100</v>
      </c>
      <c r="L662" s="3">
        <f t="shared" si="21"/>
        <v>0.8674558068402709</v>
      </c>
    </row>
    <row r="663" spans="1:12" x14ac:dyDescent="0.3">
      <c r="A663" s="3">
        <v>662</v>
      </c>
      <c r="B663" s="4">
        <v>45282</v>
      </c>
      <c r="C663" s="9" t="str">
        <f t="shared" si="20"/>
        <v>December</v>
      </c>
      <c r="D663" s="3" t="s">
        <v>675</v>
      </c>
      <c r="E663" s="3" t="s">
        <v>10</v>
      </c>
      <c r="F663" s="3">
        <v>48</v>
      </c>
      <c r="G663" s="8" t="str" cm="1">
        <f t="array" ref="G663">_xlfn.IFS(
    F663 &lt; 25, "Young",
    F663 &lt;= 40, "Mid-Age",
    F663 &gt; 40, "Old-Age"
)</f>
        <v>Old-Age</v>
      </c>
      <c r="H663" s="3" t="s">
        <v>11</v>
      </c>
      <c r="I663" s="3">
        <v>2</v>
      </c>
      <c r="J663" s="3">
        <v>500</v>
      </c>
      <c r="K663" s="3">
        <v>1000</v>
      </c>
      <c r="L663" s="3">
        <f t="shared" si="21"/>
        <v>0.86297887695942932</v>
      </c>
    </row>
    <row r="664" spans="1:12" x14ac:dyDescent="0.3">
      <c r="A664" s="3">
        <v>663</v>
      </c>
      <c r="B664" s="4">
        <v>45005</v>
      </c>
      <c r="C664" s="9" t="str">
        <f t="shared" si="20"/>
        <v>March</v>
      </c>
      <c r="D664" s="3" t="s">
        <v>676</v>
      </c>
      <c r="E664" s="3" t="s">
        <v>10</v>
      </c>
      <c r="F664" s="3">
        <v>23</v>
      </c>
      <c r="G664" s="8" t="str" cm="1">
        <f t="array" ref="G664">_xlfn.IFS(
    F664 &lt; 25, "Young",
    F664 &lt;= 40, "Mid-Age",
    F664 &gt; 40, "Old-Age"
)</f>
        <v>Young</v>
      </c>
      <c r="H664" s="3" t="s">
        <v>14</v>
      </c>
      <c r="I664" s="3">
        <v>4</v>
      </c>
      <c r="J664" s="3">
        <v>300</v>
      </c>
      <c r="K664" s="3">
        <v>1200</v>
      </c>
      <c r="L664" s="3">
        <f t="shared" si="21"/>
        <v>0.87296678248547566</v>
      </c>
    </row>
    <row r="665" spans="1:12" x14ac:dyDescent="0.3">
      <c r="A665" s="3">
        <v>664</v>
      </c>
      <c r="B665" s="4">
        <v>45288</v>
      </c>
      <c r="C665" s="9" t="str">
        <f t="shared" si="20"/>
        <v>December</v>
      </c>
      <c r="D665" s="3" t="s">
        <v>677</v>
      </c>
      <c r="E665" s="3" t="s">
        <v>13</v>
      </c>
      <c r="F665" s="3">
        <v>44</v>
      </c>
      <c r="G665" s="8" t="str" cm="1">
        <f t="array" ref="G665">_xlfn.IFS(
    F665 &lt; 25, "Young",
    F665 &lt;= 40, "Mid-Age",
    F665 &gt; 40, "Old-Age"
)</f>
        <v>Old-Age</v>
      </c>
      <c r="H665" s="3" t="s">
        <v>14</v>
      </c>
      <c r="I665" s="3">
        <v>4</v>
      </c>
      <c r="J665" s="3">
        <v>500</v>
      </c>
      <c r="K665" s="3">
        <v>2000</v>
      </c>
      <c r="L665" s="3">
        <f t="shared" si="21"/>
        <v>0.87896156075037535</v>
      </c>
    </row>
    <row r="666" spans="1:12" x14ac:dyDescent="0.3">
      <c r="A666" s="3">
        <v>665</v>
      </c>
      <c r="B666" s="4">
        <v>45036</v>
      </c>
      <c r="C666" s="9" t="str">
        <f t="shared" si="20"/>
        <v>April</v>
      </c>
      <c r="D666" s="3" t="s">
        <v>678</v>
      </c>
      <c r="E666" s="3" t="s">
        <v>10</v>
      </c>
      <c r="F666" s="3">
        <v>57</v>
      </c>
      <c r="G666" s="8" t="str" cm="1">
        <f t="array" ref="G666">_xlfn.IFS(
    F666 &lt; 25, "Young",
    F666 &lt;= 40, "Mid-Age",
    F666 &gt; 40, "Old-Age"
)</f>
        <v>Old-Age</v>
      </c>
      <c r="H666" s="3" t="s">
        <v>14</v>
      </c>
      <c r="I666" s="3">
        <v>1</v>
      </c>
      <c r="J666" s="3">
        <v>50</v>
      </c>
      <c r="K666" s="3">
        <v>50</v>
      </c>
      <c r="L666" s="3">
        <f t="shared" si="21"/>
        <v>0.8891456186881711</v>
      </c>
    </row>
    <row r="667" spans="1:12" x14ac:dyDescent="0.3">
      <c r="A667" s="3">
        <v>666</v>
      </c>
      <c r="B667" s="4">
        <v>44959</v>
      </c>
      <c r="C667" s="9" t="str">
        <f t="shared" si="20"/>
        <v>February</v>
      </c>
      <c r="D667" s="3" t="s">
        <v>679</v>
      </c>
      <c r="E667" s="3" t="s">
        <v>10</v>
      </c>
      <c r="F667" s="3">
        <v>51</v>
      </c>
      <c r="G667" s="8" t="str" cm="1">
        <f t="array" ref="G667">_xlfn.IFS(
    F667 &lt; 25, "Young",
    F667 &lt;= 40, "Mid-Age",
    F667 &gt; 40, "Old-Age"
)</f>
        <v>Old-Age</v>
      </c>
      <c r="H667" s="3" t="s">
        <v>16</v>
      </c>
      <c r="I667" s="3">
        <v>3</v>
      </c>
      <c r="J667" s="3">
        <v>50</v>
      </c>
      <c r="K667" s="3">
        <v>150</v>
      </c>
      <c r="L667" s="3">
        <f t="shared" si="21"/>
        <v>0.88449970225746022</v>
      </c>
    </row>
    <row r="668" spans="1:12" x14ac:dyDescent="0.3">
      <c r="A668" s="3">
        <v>667</v>
      </c>
      <c r="B668" s="4">
        <v>45139</v>
      </c>
      <c r="C668" s="9" t="str">
        <f t="shared" si="20"/>
        <v>August</v>
      </c>
      <c r="D668" s="3" t="s">
        <v>680</v>
      </c>
      <c r="E668" s="3" t="s">
        <v>13</v>
      </c>
      <c r="F668" s="3">
        <v>29</v>
      </c>
      <c r="G668" s="8" t="str" cm="1">
        <f t="array" ref="G668">_xlfn.IFS(
    F668 &lt; 25, "Young",
    F668 &lt;= 40, "Mid-Age",
    F668 &gt; 40, "Old-Age"
)</f>
        <v>Mid-Age</v>
      </c>
      <c r="H668" s="3" t="s">
        <v>16</v>
      </c>
      <c r="I668" s="3">
        <v>1</v>
      </c>
      <c r="J668" s="3">
        <v>500</v>
      </c>
      <c r="K668" s="3">
        <v>500</v>
      </c>
      <c r="L668" s="3">
        <f t="shared" si="21"/>
        <v>0.87983790417546937</v>
      </c>
    </row>
    <row r="669" spans="1:12" x14ac:dyDescent="0.3">
      <c r="A669" s="3">
        <v>668</v>
      </c>
      <c r="B669" s="4">
        <v>45135</v>
      </c>
      <c r="C669" s="9" t="str">
        <f t="shared" si="20"/>
        <v>July</v>
      </c>
      <c r="D669" s="3" t="s">
        <v>681</v>
      </c>
      <c r="E669" s="3" t="s">
        <v>13</v>
      </c>
      <c r="F669" s="3">
        <v>62</v>
      </c>
      <c r="G669" s="8" t="str" cm="1">
        <f t="array" ref="G669">_xlfn.IFS(
    F669 &lt; 25, "Young",
    F669 &lt;= 40, "Mid-Age",
    F669 &gt; 40, "Old-Age"
)</f>
        <v>Old-Age</v>
      </c>
      <c r="H669" s="3" t="s">
        <v>16</v>
      </c>
      <c r="I669" s="3">
        <v>3</v>
      </c>
      <c r="J669" s="3">
        <v>50</v>
      </c>
      <c r="K669" s="3">
        <v>150</v>
      </c>
      <c r="L669" s="3">
        <f t="shared" si="21"/>
        <v>0.89009945063471885</v>
      </c>
    </row>
    <row r="670" spans="1:12" x14ac:dyDescent="0.3">
      <c r="A670" s="3">
        <v>669</v>
      </c>
      <c r="B670" s="4">
        <v>45096</v>
      </c>
      <c r="C670" s="9" t="str">
        <f t="shared" si="20"/>
        <v>June</v>
      </c>
      <c r="D670" s="3" t="s">
        <v>682</v>
      </c>
      <c r="E670" s="3" t="s">
        <v>10</v>
      </c>
      <c r="F670" s="3">
        <v>24</v>
      </c>
      <c r="G670" s="8" t="str" cm="1">
        <f t="array" ref="G670">_xlfn.IFS(
    F670 &lt; 25, "Young",
    F670 &lt;= 40, "Mid-Age",
    F670 &gt; 40, "Old-Age"
)</f>
        <v>Young</v>
      </c>
      <c r="H670" s="3" t="s">
        <v>11</v>
      </c>
      <c r="I670" s="3">
        <v>4</v>
      </c>
      <c r="J670" s="3">
        <v>300</v>
      </c>
      <c r="K670" s="3">
        <v>1200</v>
      </c>
      <c r="L670" s="3">
        <f t="shared" si="21"/>
        <v>0.88541208432940244</v>
      </c>
    </row>
    <row r="671" spans="1:12" x14ac:dyDescent="0.3">
      <c r="A671" s="3">
        <v>670</v>
      </c>
      <c r="B671" s="4">
        <v>45204</v>
      </c>
      <c r="C671" s="9" t="str">
        <f t="shared" si="20"/>
        <v>October</v>
      </c>
      <c r="D671" s="3" t="s">
        <v>683</v>
      </c>
      <c r="E671" s="3" t="s">
        <v>10</v>
      </c>
      <c r="F671" s="3">
        <v>27</v>
      </c>
      <c r="G671" s="8" t="str" cm="1">
        <f t="array" ref="G671">_xlfn.IFS(
    F671 &lt; 25, "Young",
    F671 &lt;= 40, "Mid-Age",
    F671 &gt; 40, "Old-Age"
)</f>
        <v>Mid-Age</v>
      </c>
      <c r="H671" s="3" t="s">
        <v>11</v>
      </c>
      <c r="I671" s="3">
        <v>1</v>
      </c>
      <c r="J671" s="3">
        <v>30</v>
      </c>
      <c r="K671" s="3">
        <v>30</v>
      </c>
      <c r="L671" s="3">
        <f t="shared" si="21"/>
        <v>0.89162390165379302</v>
      </c>
    </row>
    <row r="672" spans="1:12" x14ac:dyDescent="0.3">
      <c r="A672" s="3">
        <v>671</v>
      </c>
      <c r="B672" s="4">
        <v>45165</v>
      </c>
      <c r="C672" s="9" t="str">
        <f t="shared" si="20"/>
        <v>August</v>
      </c>
      <c r="D672" s="3" t="s">
        <v>684</v>
      </c>
      <c r="E672" s="3" t="s">
        <v>10</v>
      </c>
      <c r="F672" s="3">
        <v>62</v>
      </c>
      <c r="G672" s="8" t="str" cm="1">
        <f t="array" ref="G672">_xlfn.IFS(
    F672 &lt; 25, "Young",
    F672 &lt;= 40, "Mid-Age",
    F672 &gt; 40, "Old-Age"
)</f>
        <v>Old-Age</v>
      </c>
      <c r="H672" s="3" t="s">
        <v>16</v>
      </c>
      <c r="I672" s="3">
        <v>3</v>
      </c>
      <c r="J672" s="3">
        <v>50</v>
      </c>
      <c r="K672" s="3">
        <v>150</v>
      </c>
      <c r="L672" s="3">
        <f t="shared" si="21"/>
        <v>0.8869774850878418</v>
      </c>
    </row>
    <row r="673" spans="1:12" x14ac:dyDescent="0.3">
      <c r="A673" s="3">
        <v>672</v>
      </c>
      <c r="B673" s="4">
        <v>45139</v>
      </c>
      <c r="C673" s="9" t="str">
        <f t="shared" si="20"/>
        <v>August</v>
      </c>
      <c r="D673" s="3" t="s">
        <v>685</v>
      </c>
      <c r="E673" s="3" t="s">
        <v>13</v>
      </c>
      <c r="F673" s="3">
        <v>34</v>
      </c>
      <c r="G673" s="8" t="str" cm="1">
        <f t="array" ref="G673">_xlfn.IFS(
    F673 &lt; 25, "Young",
    F673 &lt;= 40, "Mid-Age",
    F673 &gt; 40, "Old-Age"
)</f>
        <v>Mid-Age</v>
      </c>
      <c r="H673" s="3" t="s">
        <v>11</v>
      </c>
      <c r="I673" s="3">
        <v>2</v>
      </c>
      <c r="J673" s="3">
        <v>50</v>
      </c>
      <c r="K673" s="3">
        <v>100</v>
      </c>
      <c r="L673" s="3">
        <f t="shared" si="21"/>
        <v>0.88224619263598747</v>
      </c>
    </row>
    <row r="674" spans="1:12" x14ac:dyDescent="0.3">
      <c r="A674" s="3">
        <v>673</v>
      </c>
      <c r="B674" s="4">
        <v>44958</v>
      </c>
      <c r="C674" s="9" t="str">
        <f t="shared" si="20"/>
        <v>February</v>
      </c>
      <c r="D674" s="3" t="s">
        <v>686</v>
      </c>
      <c r="E674" s="3" t="s">
        <v>13</v>
      </c>
      <c r="F674" s="3">
        <v>43</v>
      </c>
      <c r="G674" s="8" t="str" cm="1">
        <f t="array" ref="G674">_xlfn.IFS(
    F674 &lt; 25, "Young",
    F674 &lt;= 40, "Mid-Age",
    F674 &gt; 40, "Old-Age"
)</f>
        <v>Old-Age</v>
      </c>
      <c r="H674" s="3" t="s">
        <v>14</v>
      </c>
      <c r="I674" s="3">
        <v>3</v>
      </c>
      <c r="J674" s="3">
        <v>500</v>
      </c>
      <c r="K674" s="3">
        <v>1500</v>
      </c>
      <c r="L674" s="3">
        <f t="shared" si="21"/>
        <v>0.87749841188164468</v>
      </c>
    </row>
    <row r="675" spans="1:12" x14ac:dyDescent="0.3">
      <c r="A675" s="3">
        <v>674</v>
      </c>
      <c r="B675" s="4">
        <v>45032</v>
      </c>
      <c r="C675" s="9" t="str">
        <f t="shared" si="20"/>
        <v>April</v>
      </c>
      <c r="D675" s="3" t="s">
        <v>687</v>
      </c>
      <c r="E675" s="3" t="s">
        <v>13</v>
      </c>
      <c r="F675" s="3">
        <v>38</v>
      </c>
      <c r="G675" s="8" t="str" cm="1">
        <f t="array" ref="G675">_xlfn.IFS(
    F675 &lt; 25, "Young",
    F675 &lt;= 40, "Mid-Age",
    F675 &gt; 40, "Old-Age"
)</f>
        <v>Mid-Age</v>
      </c>
      <c r="H675" s="3" t="s">
        <v>14</v>
      </c>
      <c r="I675" s="3">
        <v>1</v>
      </c>
      <c r="J675" s="3">
        <v>300</v>
      </c>
      <c r="K675" s="3">
        <v>300</v>
      </c>
      <c r="L675" s="3">
        <f t="shared" si="21"/>
        <v>0.88792809152848229</v>
      </c>
    </row>
    <row r="676" spans="1:12" x14ac:dyDescent="0.3">
      <c r="A676" s="3">
        <v>675</v>
      </c>
      <c r="B676" s="4">
        <v>45142</v>
      </c>
      <c r="C676" s="9" t="str">
        <f t="shared" si="20"/>
        <v>August</v>
      </c>
      <c r="D676" s="3" t="s">
        <v>688</v>
      </c>
      <c r="E676" s="3" t="s">
        <v>13</v>
      </c>
      <c r="F676" s="3">
        <v>45</v>
      </c>
      <c r="G676" s="8" t="str" cm="1">
        <f t="array" ref="G676">_xlfn.IFS(
    F676 &lt; 25, "Young",
    F676 &lt;= 40, "Mid-Age",
    F676 &gt; 40, "Old-Age"
)</f>
        <v>Old-Age</v>
      </c>
      <c r="H676" s="3" t="s">
        <v>14</v>
      </c>
      <c r="I676" s="3">
        <v>2</v>
      </c>
      <c r="J676" s="3">
        <v>30</v>
      </c>
      <c r="K676" s="3">
        <v>60</v>
      </c>
      <c r="L676" s="3">
        <f t="shared" si="21"/>
        <v>0.89425622631335255</v>
      </c>
    </row>
    <row r="677" spans="1:12" x14ac:dyDescent="0.3">
      <c r="A677" s="3">
        <v>676</v>
      </c>
      <c r="B677" s="4">
        <v>45126</v>
      </c>
      <c r="C677" s="9" t="str">
        <f t="shared" si="20"/>
        <v>July</v>
      </c>
      <c r="D677" s="3" t="s">
        <v>689</v>
      </c>
      <c r="E677" s="3" t="s">
        <v>10</v>
      </c>
      <c r="F677" s="3">
        <v>63</v>
      </c>
      <c r="G677" s="8" t="str" cm="1">
        <f t="array" ref="G677">_xlfn.IFS(
    F677 &lt; 25, "Young",
    F677 &lt;= 40, "Mid-Age",
    F677 &gt; 40, "Old-Age"
)</f>
        <v>Old-Age</v>
      </c>
      <c r="H677" s="3" t="s">
        <v>16</v>
      </c>
      <c r="I677" s="3">
        <v>3</v>
      </c>
      <c r="J677" s="3">
        <v>500</v>
      </c>
      <c r="K677" s="3">
        <v>1500</v>
      </c>
      <c r="L677" s="3">
        <f t="shared" si="21"/>
        <v>0.88953804133057246</v>
      </c>
    </row>
    <row r="678" spans="1:12" x14ac:dyDescent="0.3">
      <c r="A678" s="3">
        <v>677</v>
      </c>
      <c r="B678" s="4">
        <v>45226</v>
      </c>
      <c r="C678" s="9" t="str">
        <f t="shared" si="20"/>
        <v>October</v>
      </c>
      <c r="D678" s="3" t="s">
        <v>690</v>
      </c>
      <c r="E678" s="3" t="s">
        <v>13</v>
      </c>
      <c r="F678" s="3">
        <v>19</v>
      </c>
      <c r="G678" s="8" t="str" cm="1">
        <f t="array" ref="G678">_xlfn.IFS(
    F678 &lt; 25, "Young",
    F678 &lt;= 40, "Mid-Age",
    F678 &gt; 40, "Old-Age"
)</f>
        <v>Young</v>
      </c>
      <c r="H678" s="3" t="s">
        <v>11</v>
      </c>
      <c r="I678" s="3">
        <v>3</v>
      </c>
      <c r="J678" s="3">
        <v>500</v>
      </c>
      <c r="K678" s="3">
        <v>1500</v>
      </c>
      <c r="L678" s="3">
        <f t="shared" si="21"/>
        <v>0.90017208652741287</v>
      </c>
    </row>
    <row r="679" spans="1:12" x14ac:dyDescent="0.3">
      <c r="A679" s="3">
        <v>678</v>
      </c>
      <c r="B679" s="4">
        <v>45283</v>
      </c>
      <c r="C679" s="9" t="str">
        <f t="shared" si="20"/>
        <v>December</v>
      </c>
      <c r="D679" s="3" t="s">
        <v>691</v>
      </c>
      <c r="E679" s="3" t="s">
        <v>13</v>
      </c>
      <c r="F679" s="3">
        <v>60</v>
      </c>
      <c r="G679" s="8" t="str" cm="1">
        <f t="array" ref="G679">_xlfn.IFS(
    F679 &lt; 25, "Young",
    F679 &lt;= 40, "Mid-Age",
    F679 &gt; 40, "Old-Age"
)</f>
        <v>Old-Age</v>
      </c>
      <c r="H679" s="3" t="s">
        <v>16</v>
      </c>
      <c r="I679" s="3">
        <v>3</v>
      </c>
      <c r="J679" s="3">
        <v>300</v>
      </c>
      <c r="K679" s="3">
        <v>900</v>
      </c>
      <c r="L679" s="3">
        <f t="shared" si="21"/>
        <v>0.91091063826339858</v>
      </c>
    </row>
    <row r="680" spans="1:12" x14ac:dyDescent="0.3">
      <c r="A680" s="3">
        <v>679</v>
      </c>
      <c r="B680" s="4">
        <v>44937</v>
      </c>
      <c r="C680" s="9" t="str">
        <f t="shared" si="20"/>
        <v>January</v>
      </c>
      <c r="D680" s="3" t="s">
        <v>692</v>
      </c>
      <c r="E680" s="3" t="s">
        <v>13</v>
      </c>
      <c r="F680" s="3">
        <v>18</v>
      </c>
      <c r="G680" s="8" t="str" cm="1">
        <f t="array" ref="G680">_xlfn.IFS(
    F680 &lt; 25, "Young",
    F680 &lt;= 40, "Mid-Age",
    F680 &gt; 40, "Old-Age"
)</f>
        <v>Young</v>
      </c>
      <c r="H680" s="3" t="s">
        <v>11</v>
      </c>
      <c r="I680" s="3">
        <v>3</v>
      </c>
      <c r="J680" s="3">
        <v>30</v>
      </c>
      <c r="K680" s="3">
        <v>90</v>
      </c>
      <c r="L680" s="3">
        <f t="shared" si="21"/>
        <v>0.91750123991305776</v>
      </c>
    </row>
    <row r="681" spans="1:12" x14ac:dyDescent="0.3">
      <c r="A681" s="3">
        <v>680</v>
      </c>
      <c r="B681" s="4">
        <v>45221</v>
      </c>
      <c r="C681" s="9" t="str">
        <f t="shared" si="20"/>
        <v>October</v>
      </c>
      <c r="D681" s="3" t="s">
        <v>693</v>
      </c>
      <c r="E681" s="3" t="s">
        <v>13</v>
      </c>
      <c r="F681" s="3">
        <v>53</v>
      </c>
      <c r="G681" s="8" t="str" cm="1">
        <f t="array" ref="G681">_xlfn.IFS(
    F681 &lt; 25, "Young",
    F681 &lt;= 40, "Mid-Age",
    F681 &gt; 40, "Old-Age"
)</f>
        <v>Old-Age</v>
      </c>
      <c r="H681" s="3" t="s">
        <v>14</v>
      </c>
      <c r="I681" s="3">
        <v>3</v>
      </c>
      <c r="J681" s="3">
        <v>300</v>
      </c>
      <c r="K681" s="3">
        <v>900</v>
      </c>
      <c r="L681" s="3">
        <f t="shared" si="21"/>
        <v>0.9127335629687201</v>
      </c>
    </row>
    <row r="682" spans="1:12" x14ac:dyDescent="0.3">
      <c r="A682" s="3">
        <v>681</v>
      </c>
      <c r="B682" s="4">
        <v>45121</v>
      </c>
      <c r="C682" s="9" t="str">
        <f t="shared" si="20"/>
        <v>July</v>
      </c>
      <c r="D682" s="3" t="s">
        <v>694</v>
      </c>
      <c r="E682" s="3" t="s">
        <v>13</v>
      </c>
      <c r="F682" s="3">
        <v>43</v>
      </c>
      <c r="G682" s="8" t="str" cm="1">
        <f t="array" ref="G682">_xlfn.IFS(
    F682 &lt; 25, "Young",
    F682 &lt;= 40, "Mid-Age",
    F682 &gt; 40, "Old-Age"
)</f>
        <v>Old-Age</v>
      </c>
      <c r="H682" s="3" t="s">
        <v>16</v>
      </c>
      <c r="I682" s="3">
        <v>2</v>
      </c>
      <c r="J682" s="3">
        <v>30</v>
      </c>
      <c r="K682" s="3">
        <v>60</v>
      </c>
      <c r="L682" s="3">
        <f t="shared" si="21"/>
        <v>0.91935661241640088</v>
      </c>
    </row>
    <row r="683" spans="1:12" x14ac:dyDescent="0.3">
      <c r="A683" s="3">
        <v>682</v>
      </c>
      <c r="B683" s="4">
        <v>45171</v>
      </c>
      <c r="C683" s="9" t="str">
        <f t="shared" si="20"/>
        <v>September</v>
      </c>
      <c r="D683" s="3" t="s">
        <v>695</v>
      </c>
      <c r="E683" s="3" t="s">
        <v>10</v>
      </c>
      <c r="F683" s="3">
        <v>46</v>
      </c>
      <c r="G683" s="8" t="str" cm="1">
        <f t="array" ref="G683">_xlfn.IFS(
    F683 &lt; 25, "Young",
    F683 &lt;= 40, "Mid-Age",
    F683 &gt; 40, "Old-Age"
)</f>
        <v>Old-Age</v>
      </c>
      <c r="H683" s="3" t="s">
        <v>11</v>
      </c>
      <c r="I683" s="3">
        <v>4</v>
      </c>
      <c r="J683" s="3">
        <v>300</v>
      </c>
      <c r="K683" s="3">
        <v>1200</v>
      </c>
      <c r="L683" s="3">
        <f t="shared" si="21"/>
        <v>0.91455875949564902</v>
      </c>
    </row>
    <row r="684" spans="1:12" x14ac:dyDescent="0.3">
      <c r="A684" s="3">
        <v>683</v>
      </c>
      <c r="B684" s="4">
        <v>44930</v>
      </c>
      <c r="C684" s="9" t="str">
        <f t="shared" si="20"/>
        <v>January</v>
      </c>
      <c r="D684" s="3" t="s">
        <v>696</v>
      </c>
      <c r="E684" s="3" t="s">
        <v>10</v>
      </c>
      <c r="F684" s="3">
        <v>38</v>
      </c>
      <c r="G684" s="8" t="str" cm="1">
        <f t="array" ref="G684">_xlfn.IFS(
    F684 &lt; 25, "Young",
    F684 &lt;= 40, "Mid-Age",
    F684 &gt; 40, "Old-Age"
)</f>
        <v>Mid-Age</v>
      </c>
      <c r="H684" s="3" t="s">
        <v>11</v>
      </c>
      <c r="I684" s="3">
        <v>2</v>
      </c>
      <c r="J684" s="3">
        <v>500</v>
      </c>
      <c r="K684" s="3">
        <v>1000</v>
      </c>
      <c r="L684" s="3">
        <f t="shared" si="21"/>
        <v>0.92121454955060178</v>
      </c>
    </row>
    <row r="685" spans="1:12" x14ac:dyDescent="0.3">
      <c r="A685" s="3">
        <v>684</v>
      </c>
      <c r="B685" s="4">
        <v>45107</v>
      </c>
      <c r="C685" s="9" t="str">
        <f t="shared" si="20"/>
        <v>June</v>
      </c>
      <c r="D685" s="3" t="s">
        <v>697</v>
      </c>
      <c r="E685" s="3" t="s">
        <v>13</v>
      </c>
      <c r="F685" s="3">
        <v>28</v>
      </c>
      <c r="G685" s="8" t="str" cm="1">
        <f t="array" ref="G685">_xlfn.IFS(
    F685 &lt; 25, "Young",
    F685 &lt;= 40, "Mid-Age",
    F685 &gt; 40, "Old-Age"
)</f>
        <v>Mid-Age</v>
      </c>
      <c r="H685" s="3" t="s">
        <v>14</v>
      </c>
      <c r="I685" s="3">
        <v>2</v>
      </c>
      <c r="J685" s="3">
        <v>500</v>
      </c>
      <c r="K685" s="3">
        <v>1000</v>
      </c>
      <c r="L685" s="3">
        <f t="shared" si="21"/>
        <v>0.9324060066459966</v>
      </c>
    </row>
    <row r="686" spans="1:12" x14ac:dyDescent="0.3">
      <c r="A686" s="3">
        <v>685</v>
      </c>
      <c r="B686" s="4">
        <v>45079</v>
      </c>
      <c r="C686" s="9" t="str">
        <f t="shared" si="20"/>
        <v>June</v>
      </c>
      <c r="D686" s="3" t="s">
        <v>698</v>
      </c>
      <c r="E686" s="3" t="s">
        <v>10</v>
      </c>
      <c r="F686" s="3">
        <v>57</v>
      </c>
      <c r="G686" s="8" t="str" cm="1">
        <f t="array" ref="G686">_xlfn.IFS(
    F686 &lt; 25, "Young",
    F686 &lt;= 40, "Mid-Age",
    F686 &gt; 40, "Old-Age"
)</f>
        <v>Old-Age</v>
      </c>
      <c r="H686" s="3" t="s">
        <v>16</v>
      </c>
      <c r="I686" s="3">
        <v>2</v>
      </c>
      <c r="J686" s="3">
        <v>25</v>
      </c>
      <c r="K686" s="3">
        <v>50</v>
      </c>
      <c r="L686" s="3">
        <f t="shared" si="21"/>
        <v>0.94371422673640493</v>
      </c>
    </row>
    <row r="687" spans="1:12" x14ac:dyDescent="0.3">
      <c r="A687" s="3">
        <v>686</v>
      </c>
      <c r="B687" s="4">
        <v>45126</v>
      </c>
      <c r="C687" s="9" t="str">
        <f t="shared" si="20"/>
        <v>July</v>
      </c>
      <c r="D687" s="3" t="s">
        <v>699</v>
      </c>
      <c r="E687" s="3" t="s">
        <v>13</v>
      </c>
      <c r="F687" s="3">
        <v>28</v>
      </c>
      <c r="G687" s="8" t="str" cm="1">
        <f t="array" ref="G687">_xlfn.IFS(
    F687 &lt; 25, "Young",
    F687 &lt;= 40, "Mid-Age",
    F687 &gt; 40, "Old-Age"
)</f>
        <v>Mid-Age</v>
      </c>
      <c r="H687" s="3" t="s">
        <v>16</v>
      </c>
      <c r="I687" s="3">
        <v>4</v>
      </c>
      <c r="J687" s="3">
        <v>50</v>
      </c>
      <c r="K687" s="3">
        <v>200</v>
      </c>
      <c r="L687" s="3">
        <f t="shared" si="21"/>
        <v>0.93892267796209916</v>
      </c>
    </row>
    <row r="688" spans="1:12" x14ac:dyDescent="0.3">
      <c r="A688" s="3">
        <v>687</v>
      </c>
      <c r="B688" s="4">
        <v>45141</v>
      </c>
      <c r="C688" s="9" t="str">
        <f t="shared" si="20"/>
        <v>August</v>
      </c>
      <c r="D688" s="3" t="s">
        <v>700</v>
      </c>
      <c r="E688" s="3" t="s">
        <v>13</v>
      </c>
      <c r="F688" s="3">
        <v>53</v>
      </c>
      <c r="G688" s="8" t="str" cm="1">
        <f t="array" ref="G688">_xlfn.IFS(
    F688 &lt; 25, "Young",
    F688 &lt;= 40, "Mid-Age",
    F688 &gt; 40, "Old-Age"
)</f>
        <v>Old-Age</v>
      </c>
      <c r="H688" s="3" t="s">
        <v>16</v>
      </c>
      <c r="I688" s="3">
        <v>1</v>
      </c>
      <c r="J688" s="3">
        <v>300</v>
      </c>
      <c r="K688" s="3">
        <v>300</v>
      </c>
      <c r="L688" s="3">
        <f t="shared" si="21"/>
        <v>0.93398788863634208</v>
      </c>
    </row>
    <row r="689" spans="1:12" x14ac:dyDescent="0.3">
      <c r="A689" s="3">
        <v>688</v>
      </c>
      <c r="B689" s="4">
        <v>45202</v>
      </c>
      <c r="C689" s="9" t="str">
        <f t="shared" si="20"/>
        <v>October</v>
      </c>
      <c r="D689" s="3" t="s">
        <v>701</v>
      </c>
      <c r="E689" s="3" t="s">
        <v>10</v>
      </c>
      <c r="F689" s="3">
        <v>56</v>
      </c>
      <c r="G689" s="8" t="str" cm="1">
        <f t="array" ref="G689">_xlfn.IFS(
    F689 &lt; 25, "Young",
    F689 &lt;= 40, "Mid-Age",
    F689 &gt; 40, "Old-Age"
)</f>
        <v>Old-Age</v>
      </c>
      <c r="H689" s="3" t="s">
        <v>14</v>
      </c>
      <c r="I689" s="3">
        <v>4</v>
      </c>
      <c r="J689" s="3">
        <v>25</v>
      </c>
      <c r="K689" s="3">
        <v>100</v>
      </c>
      <c r="L689" s="3">
        <f t="shared" si="21"/>
        <v>0.9409181119264971</v>
      </c>
    </row>
    <row r="690" spans="1:12" x14ac:dyDescent="0.3">
      <c r="A690" s="3">
        <v>689</v>
      </c>
      <c r="B690" s="4">
        <v>45206</v>
      </c>
      <c r="C690" s="9" t="str">
        <f t="shared" si="20"/>
        <v>October</v>
      </c>
      <c r="D690" s="3" t="s">
        <v>702</v>
      </c>
      <c r="E690" s="3" t="s">
        <v>10</v>
      </c>
      <c r="F690" s="3">
        <v>57</v>
      </c>
      <c r="G690" s="8" t="str" cm="1">
        <f t="array" ref="G690">_xlfn.IFS(
    F690 &lt; 25, "Young",
    F690 &lt;= 40, "Mid-Age",
    F690 &gt; 40, "Old-Age"
)</f>
        <v>Old-Age</v>
      </c>
      <c r="H690" s="3" t="s">
        <v>16</v>
      </c>
      <c r="I690" s="3">
        <v>2</v>
      </c>
      <c r="J690" s="3">
        <v>50</v>
      </c>
      <c r="K690" s="3">
        <v>100</v>
      </c>
      <c r="L690" s="3">
        <f t="shared" si="21"/>
        <v>0.93607768856725337</v>
      </c>
    </row>
    <row r="691" spans="1:12" x14ac:dyDescent="0.3">
      <c r="A691" s="3">
        <v>690</v>
      </c>
      <c r="B691" s="4">
        <v>45235</v>
      </c>
      <c r="C691" s="9" t="str">
        <f t="shared" si="20"/>
        <v>November</v>
      </c>
      <c r="D691" s="3" t="s">
        <v>703</v>
      </c>
      <c r="E691" s="3" t="s">
        <v>13</v>
      </c>
      <c r="F691" s="3">
        <v>52</v>
      </c>
      <c r="G691" s="8" t="str" cm="1">
        <f t="array" ref="G691">_xlfn.IFS(
    F691 &lt; 25, "Young",
    F691 &lt;= 40, "Mid-Age",
    F691 &gt; 40, "Old-Age"
)</f>
        <v>Old-Age</v>
      </c>
      <c r="H691" s="3" t="s">
        <v>14</v>
      </c>
      <c r="I691" s="3">
        <v>3</v>
      </c>
      <c r="J691" s="3">
        <v>300</v>
      </c>
      <c r="K691" s="3">
        <v>900</v>
      </c>
      <c r="L691" s="3">
        <f t="shared" si="21"/>
        <v>0.93109440488175521</v>
      </c>
    </row>
    <row r="692" spans="1:12" x14ac:dyDescent="0.3">
      <c r="A692" s="3">
        <v>691</v>
      </c>
      <c r="B692" s="4">
        <v>45039</v>
      </c>
      <c r="C692" s="9" t="str">
        <f t="shared" si="20"/>
        <v>April</v>
      </c>
      <c r="D692" s="3" t="s">
        <v>704</v>
      </c>
      <c r="E692" s="3" t="s">
        <v>13</v>
      </c>
      <c r="F692" s="3">
        <v>51</v>
      </c>
      <c r="G692" s="8" t="str" cm="1">
        <f t="array" ref="G692">_xlfn.IFS(
    F692 &lt; 25, "Young",
    F692 &lt;= 40, "Mid-Age",
    F692 &gt; 40, "Old-Age"
)</f>
        <v>Old-Age</v>
      </c>
      <c r="H692" s="3" t="s">
        <v>14</v>
      </c>
      <c r="I692" s="3">
        <v>3</v>
      </c>
      <c r="J692" s="3">
        <v>30</v>
      </c>
      <c r="K692" s="3">
        <v>90</v>
      </c>
      <c r="L692" s="3">
        <f t="shared" si="21"/>
        <v>0.93804732993192885</v>
      </c>
    </row>
    <row r="693" spans="1:12" x14ac:dyDescent="0.3">
      <c r="A693" s="3">
        <v>692</v>
      </c>
      <c r="B693" s="4">
        <v>45176</v>
      </c>
      <c r="C693" s="9" t="str">
        <f t="shared" si="20"/>
        <v>September</v>
      </c>
      <c r="D693" s="3" t="s">
        <v>705</v>
      </c>
      <c r="E693" s="3" t="s">
        <v>13</v>
      </c>
      <c r="F693" s="3">
        <v>64</v>
      </c>
      <c r="G693" s="8" t="str" cm="1">
        <f t="array" ref="G693">_xlfn.IFS(
    F693 &lt; 25, "Young",
    F693 &lt;= 40, "Mid-Age",
    F693 &gt; 40, "Old-Age"
)</f>
        <v>Old-Age</v>
      </c>
      <c r="H693" s="3" t="s">
        <v>14</v>
      </c>
      <c r="I693" s="3">
        <v>2</v>
      </c>
      <c r="J693" s="3">
        <v>50</v>
      </c>
      <c r="K693" s="3">
        <v>100</v>
      </c>
      <c r="L693" s="3">
        <f t="shared" si="21"/>
        <v>0.93309871842242309</v>
      </c>
    </row>
    <row r="694" spans="1:12" x14ac:dyDescent="0.3">
      <c r="A694" s="3">
        <v>693</v>
      </c>
      <c r="B694" s="4">
        <v>45039</v>
      </c>
      <c r="C694" s="9" t="str">
        <f t="shared" si="20"/>
        <v>April</v>
      </c>
      <c r="D694" s="3" t="s">
        <v>706</v>
      </c>
      <c r="E694" s="3" t="s">
        <v>10</v>
      </c>
      <c r="F694" s="3">
        <v>41</v>
      </c>
      <c r="G694" s="8" t="str" cm="1">
        <f t="array" ref="G694">_xlfn.IFS(
    F694 &lt; 25, "Young",
    F694 &lt;= 40, "Mid-Age",
    F694 &gt; 40, "Old-Age"
)</f>
        <v>Old-Age</v>
      </c>
      <c r="H694" s="3" t="s">
        <v>11</v>
      </c>
      <c r="I694" s="3">
        <v>3</v>
      </c>
      <c r="J694" s="3">
        <v>500</v>
      </c>
      <c r="K694" s="3">
        <v>1500</v>
      </c>
      <c r="L694" s="3">
        <f t="shared" si="21"/>
        <v>0.92806601859051496</v>
      </c>
    </row>
    <row r="695" spans="1:12" x14ac:dyDescent="0.3">
      <c r="A695" s="3">
        <v>694</v>
      </c>
      <c r="B695" s="4">
        <v>45066</v>
      </c>
      <c r="C695" s="9" t="str">
        <f t="shared" si="20"/>
        <v>May</v>
      </c>
      <c r="D695" s="3" t="s">
        <v>707</v>
      </c>
      <c r="E695" s="3" t="s">
        <v>13</v>
      </c>
      <c r="F695" s="3">
        <v>39</v>
      </c>
      <c r="G695" s="8" t="str" cm="1">
        <f t="array" ref="G695">_xlfn.IFS(
    F695 &lt; 25, "Young",
    F695 &lt;= 40, "Mid-Age",
    F695 &gt; 40, "Old-Age"
)</f>
        <v>Mid-Age</v>
      </c>
      <c r="H695" s="3" t="s">
        <v>16</v>
      </c>
      <c r="I695" s="3">
        <v>2</v>
      </c>
      <c r="J695" s="3">
        <v>25</v>
      </c>
      <c r="K695" s="3">
        <v>50</v>
      </c>
      <c r="L695" s="3">
        <f t="shared" si="21"/>
        <v>0.93969152938459521</v>
      </c>
    </row>
    <row r="696" spans="1:12" x14ac:dyDescent="0.3">
      <c r="A696" s="3">
        <v>695</v>
      </c>
      <c r="B696" s="4">
        <v>45150</v>
      </c>
      <c r="C696" s="9" t="str">
        <f t="shared" si="20"/>
        <v>August</v>
      </c>
      <c r="D696" s="3" t="s">
        <v>708</v>
      </c>
      <c r="E696" s="3" t="s">
        <v>13</v>
      </c>
      <c r="F696" s="3">
        <v>22</v>
      </c>
      <c r="G696" s="8" t="str" cm="1">
        <f t="array" ref="G696">_xlfn.IFS(
    F696 &lt; 25, "Young",
    F696 &lt;= 40, "Mid-Age",
    F696 &gt; 40, "Old-Age"
)</f>
        <v>Young</v>
      </c>
      <c r="H696" s="3" t="s">
        <v>16</v>
      </c>
      <c r="I696" s="3">
        <v>3</v>
      </c>
      <c r="J696" s="3">
        <v>50</v>
      </c>
      <c r="K696" s="3">
        <v>150</v>
      </c>
      <c r="L696" s="3">
        <f t="shared" si="21"/>
        <v>0.93475473032605039</v>
      </c>
    </row>
    <row r="697" spans="1:12" x14ac:dyDescent="0.3">
      <c r="A697" s="3">
        <v>696</v>
      </c>
      <c r="B697" s="4">
        <v>45175</v>
      </c>
      <c r="C697" s="9" t="str">
        <f t="shared" si="20"/>
        <v>September</v>
      </c>
      <c r="D697" s="3" t="s">
        <v>709</v>
      </c>
      <c r="E697" s="3" t="s">
        <v>13</v>
      </c>
      <c r="F697" s="3">
        <v>50</v>
      </c>
      <c r="G697" s="8" t="str" cm="1">
        <f t="array" ref="G697">_xlfn.IFS(
    F697 &lt; 25, "Young",
    F697 &lt;= 40, "Mid-Age",
    F697 &gt; 40, "Old-Age"
)</f>
        <v>Old-Age</v>
      </c>
      <c r="H697" s="3" t="s">
        <v>14</v>
      </c>
      <c r="I697" s="3">
        <v>4</v>
      </c>
      <c r="J697" s="3">
        <v>50</v>
      </c>
      <c r="K697" s="3">
        <v>200</v>
      </c>
      <c r="L697" s="3">
        <f t="shared" si="21"/>
        <v>0.92967300341066972</v>
      </c>
    </row>
    <row r="698" spans="1:12" x14ac:dyDescent="0.3">
      <c r="A698" s="3">
        <v>697</v>
      </c>
      <c r="B698" s="4">
        <v>44941</v>
      </c>
      <c r="C698" s="9" t="str">
        <f t="shared" si="20"/>
        <v>January</v>
      </c>
      <c r="D698" s="3" t="s">
        <v>710</v>
      </c>
      <c r="E698" s="3" t="s">
        <v>10</v>
      </c>
      <c r="F698" s="3">
        <v>53</v>
      </c>
      <c r="G698" s="8" t="str" cm="1">
        <f t="array" ref="G698">_xlfn.IFS(
    F698 &lt; 25, "Young",
    F698 &lt;= 40, "Mid-Age",
    F698 &gt; 40, "Old-Age"
)</f>
        <v>Old-Age</v>
      </c>
      <c r="H698" s="3" t="s">
        <v>14</v>
      </c>
      <c r="I698" s="3">
        <v>1</v>
      </c>
      <c r="J698" s="3">
        <v>500</v>
      </c>
      <c r="K698" s="3">
        <v>500</v>
      </c>
      <c r="L698" s="3">
        <f t="shared" si="21"/>
        <v>0.92457262331347878</v>
      </c>
    </row>
    <row r="699" spans="1:12" x14ac:dyDescent="0.3">
      <c r="A699" s="3">
        <v>698</v>
      </c>
      <c r="B699" s="4">
        <v>45126</v>
      </c>
      <c r="C699" s="9" t="str">
        <f t="shared" si="20"/>
        <v>July</v>
      </c>
      <c r="D699" s="3" t="s">
        <v>711</v>
      </c>
      <c r="E699" s="3" t="s">
        <v>13</v>
      </c>
      <c r="F699" s="3">
        <v>64</v>
      </c>
      <c r="G699" s="8" t="str" cm="1">
        <f t="array" ref="G699">_xlfn.IFS(
    F699 &lt; 25, "Young",
    F699 &lt;= 40, "Mid-Age",
    F699 &gt; 40, "Old-Age"
)</f>
        <v>Old-Age</v>
      </c>
      <c r="H699" s="3" t="s">
        <v>16</v>
      </c>
      <c r="I699" s="3">
        <v>1</v>
      </c>
      <c r="J699" s="3">
        <v>300</v>
      </c>
      <c r="K699" s="3">
        <v>300</v>
      </c>
      <c r="L699" s="3">
        <f t="shared" si="21"/>
        <v>0.93628877549938205</v>
      </c>
    </row>
    <row r="700" spans="1:12" x14ac:dyDescent="0.3">
      <c r="A700" s="3">
        <v>699</v>
      </c>
      <c r="B700" s="4">
        <v>45099</v>
      </c>
      <c r="C700" s="9" t="str">
        <f t="shared" si="20"/>
        <v>June</v>
      </c>
      <c r="D700" s="3" t="s">
        <v>712</v>
      </c>
      <c r="E700" s="3" t="s">
        <v>13</v>
      </c>
      <c r="F700" s="3">
        <v>37</v>
      </c>
      <c r="G700" s="8" t="str" cm="1">
        <f t="array" ref="G700">_xlfn.IFS(
    F700 &lt; 25, "Young",
    F700 &lt;= 40, "Mid-Age",
    F700 &gt; 40, "Old-Age"
)</f>
        <v>Mid-Age</v>
      </c>
      <c r="H700" s="3" t="s">
        <v>14</v>
      </c>
      <c r="I700" s="3">
        <v>4</v>
      </c>
      <c r="J700" s="3">
        <v>30</v>
      </c>
      <c r="K700" s="3">
        <v>120</v>
      </c>
      <c r="L700" s="3">
        <f t="shared" si="21"/>
        <v>0.94349630140961516</v>
      </c>
    </row>
    <row r="701" spans="1:12" x14ac:dyDescent="0.3">
      <c r="A701" s="3">
        <v>700</v>
      </c>
      <c r="B701" s="4">
        <v>45269</v>
      </c>
      <c r="C701" s="9" t="str">
        <f t="shared" si="20"/>
        <v>December</v>
      </c>
      <c r="D701" s="3" t="s">
        <v>713</v>
      </c>
      <c r="E701" s="3" t="s">
        <v>10</v>
      </c>
      <c r="F701" s="3">
        <v>36</v>
      </c>
      <c r="G701" s="8" t="str" cm="1">
        <f t="array" ref="G701">_xlfn.IFS(
    F701 &lt; 25, "Young",
    F701 &lt;= 40, "Mid-Age",
    F701 &gt; 40, "Old-Age"
)</f>
        <v>Mid-Age</v>
      </c>
      <c r="H701" s="3" t="s">
        <v>16</v>
      </c>
      <c r="I701" s="3">
        <v>4</v>
      </c>
      <c r="J701" s="3">
        <v>500</v>
      </c>
      <c r="K701" s="3">
        <v>2000</v>
      </c>
      <c r="L701" s="3">
        <f t="shared" si="21"/>
        <v>0.93841737836628469</v>
      </c>
    </row>
    <row r="702" spans="1:12" x14ac:dyDescent="0.3">
      <c r="A702" s="3">
        <v>701</v>
      </c>
      <c r="B702" s="4">
        <v>45274</v>
      </c>
      <c r="C702" s="9" t="str">
        <f t="shared" si="20"/>
        <v>December</v>
      </c>
      <c r="D702" s="3" t="s">
        <v>714</v>
      </c>
      <c r="E702" s="3" t="s">
        <v>13</v>
      </c>
      <c r="F702" s="3">
        <v>52</v>
      </c>
      <c r="G702" s="8" t="str" cm="1">
        <f t="array" ref="G702">_xlfn.IFS(
    F702 &lt; 25, "Young",
    F702 &lt;= 40, "Mid-Age",
    F702 &gt; 40, "Old-Age"
)</f>
        <v>Old-Age</v>
      </c>
      <c r="H702" s="3" t="s">
        <v>11</v>
      </c>
      <c r="I702" s="3">
        <v>2</v>
      </c>
      <c r="J702" s="3">
        <v>30</v>
      </c>
      <c r="K702" s="3">
        <v>60</v>
      </c>
      <c r="L702" s="3">
        <f t="shared" si="21"/>
        <v>0.95039143261133907</v>
      </c>
    </row>
    <row r="703" spans="1:12" x14ac:dyDescent="0.3">
      <c r="A703" s="3">
        <v>702</v>
      </c>
      <c r="B703" s="4">
        <v>45134</v>
      </c>
      <c r="C703" s="9" t="str">
        <f t="shared" si="20"/>
        <v>July</v>
      </c>
      <c r="D703" s="3" t="s">
        <v>715</v>
      </c>
      <c r="E703" s="3" t="s">
        <v>13</v>
      </c>
      <c r="F703" s="3">
        <v>60</v>
      </c>
      <c r="G703" s="8" t="str" cm="1">
        <f t="array" ref="G703">_xlfn.IFS(
    F703 &lt; 25, "Young",
    F703 &lt;= 40, "Mid-Age",
    F703 &gt; 40, "Old-Age"
)</f>
        <v>Old-Age</v>
      </c>
      <c r="H703" s="3" t="s">
        <v>14</v>
      </c>
      <c r="I703" s="3">
        <v>2</v>
      </c>
      <c r="J703" s="3">
        <v>300</v>
      </c>
      <c r="K703" s="3">
        <v>600</v>
      </c>
      <c r="L703" s="3">
        <f t="shared" si="21"/>
        <v>0.94528206787375735</v>
      </c>
    </row>
    <row r="704" spans="1:12" x14ac:dyDescent="0.3">
      <c r="A704" s="3">
        <v>703</v>
      </c>
      <c r="B704" s="4">
        <v>45011</v>
      </c>
      <c r="C704" s="9" t="str">
        <f t="shared" si="20"/>
        <v>March</v>
      </c>
      <c r="D704" s="3" t="s">
        <v>716</v>
      </c>
      <c r="E704" s="3" t="s">
        <v>10</v>
      </c>
      <c r="F704" s="3">
        <v>34</v>
      </c>
      <c r="G704" s="8" t="str" cm="1">
        <f t="array" ref="G704">_xlfn.IFS(
    F704 &lt; 25, "Young",
    F704 &lt;= 40, "Mid-Age",
    F704 &gt; 40, "Old-Age"
)</f>
        <v>Mid-Age</v>
      </c>
      <c r="H704" s="3" t="s">
        <v>16</v>
      </c>
      <c r="I704" s="3">
        <v>2</v>
      </c>
      <c r="J704" s="3">
        <v>50</v>
      </c>
      <c r="K704" s="3">
        <v>100</v>
      </c>
      <c r="L704" s="3">
        <f t="shared" si="21"/>
        <v>0.95265749074181993</v>
      </c>
    </row>
    <row r="705" spans="1:12" x14ac:dyDescent="0.3">
      <c r="A705" s="3">
        <v>704</v>
      </c>
      <c r="B705" s="4">
        <v>45166</v>
      </c>
      <c r="C705" s="9" t="str">
        <f t="shared" si="20"/>
        <v>August</v>
      </c>
      <c r="D705" s="3" t="s">
        <v>717</v>
      </c>
      <c r="E705" s="3" t="s">
        <v>13</v>
      </c>
      <c r="F705" s="3">
        <v>62</v>
      </c>
      <c r="G705" s="8" t="str" cm="1">
        <f t="array" ref="G705">_xlfn.IFS(
    F705 &lt; 25, "Young",
    F705 &lt;= 40, "Mid-Age",
    F705 &gt; 40, "Old-Age"
)</f>
        <v>Old-Age</v>
      </c>
      <c r="H705" s="3" t="s">
        <v>14</v>
      </c>
      <c r="I705" s="3">
        <v>3</v>
      </c>
      <c r="J705" s="3">
        <v>30</v>
      </c>
      <c r="K705" s="3">
        <v>90</v>
      </c>
      <c r="L705" s="3">
        <f t="shared" si="21"/>
        <v>0.94744651367775712</v>
      </c>
    </row>
    <row r="706" spans="1:12" x14ac:dyDescent="0.3">
      <c r="A706" s="3">
        <v>705</v>
      </c>
      <c r="B706" s="4">
        <v>44992</v>
      </c>
      <c r="C706" s="9" t="str">
        <f t="shared" ref="C706:C769" si="22">TEXT(B706,"mmmm")</f>
        <v>March</v>
      </c>
      <c r="D706" s="3" t="s">
        <v>718</v>
      </c>
      <c r="E706" s="3" t="s">
        <v>10</v>
      </c>
      <c r="F706" s="3">
        <v>60</v>
      </c>
      <c r="G706" s="8" t="str" cm="1">
        <f t="array" ref="G706">_xlfn.IFS(
    F706 &lt; 25, "Young",
    F706 &lt;= 40, "Mid-Age",
    F706 &gt; 40, "Old-Age"
)</f>
        <v>Old-Age</v>
      </c>
      <c r="H706" s="3" t="s">
        <v>16</v>
      </c>
      <c r="I706" s="3">
        <v>2</v>
      </c>
      <c r="J706" s="3">
        <v>25</v>
      </c>
      <c r="K706" s="3">
        <v>50</v>
      </c>
      <c r="L706" s="3">
        <f t="shared" ref="L706:L769" si="23">SKEW(J706:J1705)</f>
        <v>0.94228263657334654</v>
      </c>
    </row>
    <row r="707" spans="1:12" x14ac:dyDescent="0.3">
      <c r="A707" s="3">
        <v>706</v>
      </c>
      <c r="B707" s="4">
        <v>45245</v>
      </c>
      <c r="C707" s="9" t="str">
        <f t="shared" si="22"/>
        <v>November</v>
      </c>
      <c r="D707" s="3" t="s">
        <v>719</v>
      </c>
      <c r="E707" s="3" t="s">
        <v>10</v>
      </c>
      <c r="F707" s="3">
        <v>51</v>
      </c>
      <c r="G707" s="8" t="str" cm="1">
        <f t="array" ref="G707">_xlfn.IFS(
    F707 &lt; 25, "Young",
    F707 &lt;= 40, "Mid-Age",
    F707 &gt; 40, "Old-Age"
)</f>
        <v>Old-Age</v>
      </c>
      <c r="H707" s="3" t="s">
        <v>16</v>
      </c>
      <c r="I707" s="3">
        <v>4</v>
      </c>
      <c r="J707" s="3">
        <v>25</v>
      </c>
      <c r="K707" s="3">
        <v>100</v>
      </c>
      <c r="L707" s="3">
        <f t="shared" si="23"/>
        <v>0.93716089272381975</v>
      </c>
    </row>
    <row r="708" spans="1:12" x14ac:dyDescent="0.3">
      <c r="A708" s="3">
        <v>707</v>
      </c>
      <c r="B708" s="4">
        <v>45200</v>
      </c>
      <c r="C708" s="9" t="str">
        <f t="shared" si="22"/>
        <v>October</v>
      </c>
      <c r="D708" s="3" t="s">
        <v>720</v>
      </c>
      <c r="E708" s="3" t="s">
        <v>13</v>
      </c>
      <c r="F708" s="3">
        <v>26</v>
      </c>
      <c r="G708" s="8" t="str" cm="1">
        <f t="array" ref="G708">_xlfn.IFS(
    F708 &lt; 25, "Young",
    F708 &lt;= 40, "Mid-Age",
    F708 &gt; 40, "Old-Age"
)</f>
        <v>Mid-Age</v>
      </c>
      <c r="H708" s="3" t="s">
        <v>14</v>
      </c>
      <c r="I708" s="3">
        <v>1</v>
      </c>
      <c r="J708" s="3">
        <v>500</v>
      </c>
      <c r="K708" s="3">
        <v>500</v>
      </c>
      <c r="L708" s="3">
        <f t="shared" si="23"/>
        <v>0.93202086357320779</v>
      </c>
    </row>
    <row r="709" spans="1:12" x14ac:dyDescent="0.3">
      <c r="A709" s="3">
        <v>708</v>
      </c>
      <c r="B709" s="4">
        <v>44940</v>
      </c>
      <c r="C709" s="9" t="str">
        <f t="shared" si="22"/>
        <v>January</v>
      </c>
      <c r="D709" s="3" t="s">
        <v>721</v>
      </c>
      <c r="E709" s="3" t="s">
        <v>13</v>
      </c>
      <c r="F709" s="3">
        <v>43</v>
      </c>
      <c r="G709" s="8" t="str" cm="1">
        <f t="array" ref="G709">_xlfn.IFS(
    F709 &lt; 25, "Young",
    F709 &lt;= 40, "Mid-Age",
    F709 &gt; 40, "Old-Age"
)</f>
        <v>Old-Age</v>
      </c>
      <c r="H709" s="3" t="s">
        <v>11</v>
      </c>
      <c r="I709" s="3">
        <v>3</v>
      </c>
      <c r="J709" s="3">
        <v>300</v>
      </c>
      <c r="K709" s="3">
        <v>900</v>
      </c>
      <c r="L709" s="3">
        <f t="shared" si="23"/>
        <v>0.94421465754528078</v>
      </c>
    </row>
    <row r="710" spans="1:12" x14ac:dyDescent="0.3">
      <c r="A710" s="3">
        <v>709</v>
      </c>
      <c r="B710" s="4">
        <v>45128</v>
      </c>
      <c r="C710" s="9" t="str">
        <f t="shared" si="22"/>
        <v>July</v>
      </c>
      <c r="D710" s="3" t="s">
        <v>722</v>
      </c>
      <c r="E710" s="3" t="s">
        <v>13</v>
      </c>
      <c r="F710" s="3">
        <v>19</v>
      </c>
      <c r="G710" s="8" t="str" cm="1">
        <f t="array" ref="G710">_xlfn.IFS(
    F710 &lt; 25, "Young",
    F710 &lt;= 40, "Mid-Age",
    F710 &gt; 40, "Old-Age"
)</f>
        <v>Young</v>
      </c>
      <c r="H710" s="3" t="s">
        <v>16</v>
      </c>
      <c r="I710" s="3">
        <v>2</v>
      </c>
      <c r="J710" s="3">
        <v>500</v>
      </c>
      <c r="K710" s="3">
        <v>1000</v>
      </c>
      <c r="L710" s="3">
        <f t="shared" si="23"/>
        <v>0.95173312440083646</v>
      </c>
    </row>
    <row r="711" spans="1:12" x14ac:dyDescent="0.3">
      <c r="A711" s="3">
        <v>710</v>
      </c>
      <c r="B711" s="4">
        <v>45230</v>
      </c>
      <c r="C711" s="9" t="str">
        <f t="shared" si="22"/>
        <v>October</v>
      </c>
      <c r="D711" s="3" t="s">
        <v>723</v>
      </c>
      <c r="E711" s="3" t="s">
        <v>13</v>
      </c>
      <c r="F711" s="3">
        <v>26</v>
      </c>
      <c r="G711" s="8" t="str" cm="1">
        <f t="array" ref="G711">_xlfn.IFS(
    F711 &lt; 25, "Young",
    F711 &lt;= 40, "Mid-Age",
    F711 &gt; 40, "Old-Age"
)</f>
        <v>Mid-Age</v>
      </c>
      <c r="H711" s="3" t="s">
        <v>16</v>
      </c>
      <c r="I711" s="3">
        <v>3</v>
      </c>
      <c r="J711" s="3">
        <v>500</v>
      </c>
      <c r="K711" s="3">
        <v>1500</v>
      </c>
      <c r="L711" s="3">
        <f t="shared" si="23"/>
        <v>0.96421951486937174</v>
      </c>
    </row>
    <row r="712" spans="1:12" x14ac:dyDescent="0.3">
      <c r="A712" s="3">
        <v>711</v>
      </c>
      <c r="B712" s="4">
        <v>45215</v>
      </c>
      <c r="C712" s="9" t="str">
        <f t="shared" si="22"/>
        <v>October</v>
      </c>
      <c r="D712" s="3" t="s">
        <v>724</v>
      </c>
      <c r="E712" s="3" t="s">
        <v>10</v>
      </c>
      <c r="F712" s="3">
        <v>26</v>
      </c>
      <c r="G712" s="8" t="str" cm="1">
        <f t="array" ref="G712">_xlfn.IFS(
    F712 &lt; 25, "Young",
    F712 &lt;= 40, "Mid-Age",
    F712 &gt; 40, "Old-Age"
)</f>
        <v>Mid-Age</v>
      </c>
      <c r="H712" s="3" t="s">
        <v>16</v>
      </c>
      <c r="I712" s="3">
        <v>3</v>
      </c>
      <c r="J712" s="3">
        <v>500</v>
      </c>
      <c r="K712" s="3">
        <v>1500</v>
      </c>
      <c r="L712" s="3">
        <f t="shared" si="23"/>
        <v>0.97684996866365514</v>
      </c>
    </row>
    <row r="713" spans="1:12" x14ac:dyDescent="0.3">
      <c r="A713" s="3">
        <v>712</v>
      </c>
      <c r="B713" s="4">
        <v>45266</v>
      </c>
      <c r="C713" s="9" t="str">
        <f t="shared" si="22"/>
        <v>December</v>
      </c>
      <c r="D713" s="3" t="s">
        <v>725</v>
      </c>
      <c r="E713" s="3" t="s">
        <v>13</v>
      </c>
      <c r="F713" s="3">
        <v>57</v>
      </c>
      <c r="G713" s="8" t="str" cm="1">
        <f t="array" ref="G713">_xlfn.IFS(
    F713 &lt; 25, "Young",
    F713 &lt;= 40, "Mid-Age",
    F713 &gt; 40, "Old-Age"
)</f>
        <v>Old-Age</v>
      </c>
      <c r="H713" s="3" t="s">
        <v>11</v>
      </c>
      <c r="I713" s="3">
        <v>2</v>
      </c>
      <c r="J713" s="3">
        <v>25</v>
      </c>
      <c r="K713" s="3">
        <v>50</v>
      </c>
      <c r="L713" s="3">
        <f t="shared" si="23"/>
        <v>0.98962638754956256</v>
      </c>
    </row>
    <row r="714" spans="1:12" x14ac:dyDescent="0.3">
      <c r="A714" s="3">
        <v>713</v>
      </c>
      <c r="B714" s="4">
        <v>44940</v>
      </c>
      <c r="C714" s="9" t="str">
        <f t="shared" si="22"/>
        <v>January</v>
      </c>
      <c r="D714" s="3" t="s">
        <v>726</v>
      </c>
      <c r="E714" s="3" t="s">
        <v>10</v>
      </c>
      <c r="F714" s="3">
        <v>34</v>
      </c>
      <c r="G714" s="8" t="str" cm="1">
        <f t="array" ref="G714">_xlfn.IFS(
    F714 &lt; 25, "Young",
    F714 &lt;= 40, "Mid-Age",
    F714 &gt; 40, "Old-Age"
)</f>
        <v>Mid-Age</v>
      </c>
      <c r="H714" s="3" t="s">
        <v>11</v>
      </c>
      <c r="I714" s="3">
        <v>3</v>
      </c>
      <c r="J714" s="3">
        <v>25</v>
      </c>
      <c r="K714" s="3">
        <v>75</v>
      </c>
      <c r="L714" s="3">
        <f t="shared" si="23"/>
        <v>0.98440065965963841</v>
      </c>
    </row>
    <row r="715" spans="1:12" x14ac:dyDescent="0.3">
      <c r="A715" s="3">
        <v>714</v>
      </c>
      <c r="B715" s="4">
        <v>44969</v>
      </c>
      <c r="C715" s="9" t="str">
        <f t="shared" si="22"/>
        <v>February</v>
      </c>
      <c r="D715" s="3" t="s">
        <v>727</v>
      </c>
      <c r="E715" s="3" t="s">
        <v>13</v>
      </c>
      <c r="F715" s="3">
        <v>18</v>
      </c>
      <c r="G715" s="8" t="str" cm="1">
        <f t="array" ref="G715">_xlfn.IFS(
    F715 &lt; 25, "Young",
    F715 &lt;= 40, "Mid-Age",
    F715 &gt; 40, "Old-Age"
)</f>
        <v>Young</v>
      </c>
      <c r="H715" s="3" t="s">
        <v>14</v>
      </c>
      <c r="I715" s="3">
        <v>1</v>
      </c>
      <c r="J715" s="3">
        <v>500</v>
      </c>
      <c r="K715" s="3">
        <v>500</v>
      </c>
      <c r="L715" s="3">
        <f t="shared" si="23"/>
        <v>0.97915628922034958</v>
      </c>
    </row>
    <row r="716" spans="1:12" x14ac:dyDescent="0.3">
      <c r="A716" s="3">
        <v>715</v>
      </c>
      <c r="B716" s="4">
        <v>45256</v>
      </c>
      <c r="C716" s="9" t="str">
        <f t="shared" si="22"/>
        <v>November</v>
      </c>
      <c r="D716" s="3" t="s">
        <v>728</v>
      </c>
      <c r="E716" s="3" t="s">
        <v>13</v>
      </c>
      <c r="F716" s="3">
        <v>42</v>
      </c>
      <c r="G716" s="8" t="str" cm="1">
        <f t="array" ref="G716">_xlfn.IFS(
    F716 &lt; 25, "Young",
    F716 &lt;= 40, "Mid-Age",
    F716 &gt; 40, "Old-Age"
)</f>
        <v>Old-Age</v>
      </c>
      <c r="H716" s="3" t="s">
        <v>11</v>
      </c>
      <c r="I716" s="3">
        <v>4</v>
      </c>
      <c r="J716" s="3">
        <v>25</v>
      </c>
      <c r="K716" s="3">
        <v>100</v>
      </c>
      <c r="L716" s="3">
        <f t="shared" si="23"/>
        <v>0.9920539293599504</v>
      </c>
    </row>
    <row r="717" spans="1:12" x14ac:dyDescent="0.3">
      <c r="A717" s="3">
        <v>716</v>
      </c>
      <c r="B717" s="4">
        <v>45146</v>
      </c>
      <c r="C717" s="9" t="str">
        <f t="shared" si="22"/>
        <v>August</v>
      </c>
      <c r="D717" s="3" t="s">
        <v>729</v>
      </c>
      <c r="E717" s="3" t="s">
        <v>13</v>
      </c>
      <c r="F717" s="3">
        <v>60</v>
      </c>
      <c r="G717" s="8" t="str" cm="1">
        <f t="array" ref="G717">_xlfn.IFS(
    F717 &lt; 25, "Young",
    F717 &lt;= 40, "Mid-Age",
    F717 &gt; 40, "Old-Age"
)</f>
        <v>Old-Age</v>
      </c>
      <c r="H717" s="3" t="s">
        <v>14</v>
      </c>
      <c r="I717" s="3">
        <v>4</v>
      </c>
      <c r="J717" s="3">
        <v>300</v>
      </c>
      <c r="K717" s="3">
        <v>1200</v>
      </c>
      <c r="L717" s="3">
        <f t="shared" si="23"/>
        <v>0.98677749062539932</v>
      </c>
    </row>
    <row r="718" spans="1:12" x14ac:dyDescent="0.3">
      <c r="A718" s="3">
        <v>717</v>
      </c>
      <c r="B718" s="4">
        <v>44996</v>
      </c>
      <c r="C718" s="9" t="str">
        <f t="shared" si="22"/>
        <v>March</v>
      </c>
      <c r="D718" s="3" t="s">
        <v>730</v>
      </c>
      <c r="E718" s="3" t="s">
        <v>10</v>
      </c>
      <c r="F718" s="3">
        <v>57</v>
      </c>
      <c r="G718" s="8" t="str" cm="1">
        <f t="array" ref="G718">_xlfn.IFS(
    F718 &lt; 25, "Young",
    F718 &lt;= 40, "Mid-Age",
    F718 &gt; 40, "Old-Age"
)</f>
        <v>Old-Age</v>
      </c>
      <c r="H718" s="3" t="s">
        <v>14</v>
      </c>
      <c r="I718" s="3">
        <v>1</v>
      </c>
      <c r="J718" s="3">
        <v>500</v>
      </c>
      <c r="K718" s="3">
        <v>500</v>
      </c>
      <c r="L718" s="3">
        <f t="shared" si="23"/>
        <v>0.99496102360405658</v>
      </c>
    </row>
    <row r="719" spans="1:12" x14ac:dyDescent="0.3">
      <c r="A719" s="3">
        <v>718</v>
      </c>
      <c r="B719" s="4">
        <v>45163</v>
      </c>
      <c r="C719" s="9" t="str">
        <f t="shared" si="22"/>
        <v>August</v>
      </c>
      <c r="D719" s="3" t="s">
        <v>731</v>
      </c>
      <c r="E719" s="3" t="s">
        <v>13</v>
      </c>
      <c r="F719" s="3">
        <v>59</v>
      </c>
      <c r="G719" s="8" t="str" cm="1">
        <f t="array" ref="G719">_xlfn.IFS(
    F719 &lt; 25, "Young",
    F719 &lt;= 40, "Mid-Age",
    F719 &gt; 40, "Old-Age"
)</f>
        <v>Old-Age</v>
      </c>
      <c r="H719" s="3" t="s">
        <v>11</v>
      </c>
      <c r="I719" s="3">
        <v>3</v>
      </c>
      <c r="J719" s="3">
        <v>25</v>
      </c>
      <c r="K719" s="3">
        <v>75</v>
      </c>
      <c r="L719" s="3">
        <f t="shared" si="23"/>
        <v>1.0081721499401723</v>
      </c>
    </row>
    <row r="720" spans="1:12" x14ac:dyDescent="0.3">
      <c r="A720" s="3">
        <v>719</v>
      </c>
      <c r="B720" s="4">
        <v>45020</v>
      </c>
      <c r="C720" s="9" t="str">
        <f t="shared" si="22"/>
        <v>April</v>
      </c>
      <c r="D720" s="3" t="s">
        <v>732</v>
      </c>
      <c r="E720" s="3" t="s">
        <v>13</v>
      </c>
      <c r="F720" s="3">
        <v>42</v>
      </c>
      <c r="G720" s="8" t="str" cm="1">
        <f t="array" ref="G720">_xlfn.IFS(
    F720 &lt; 25, "Young",
    F720 &lt;= 40, "Mid-Age",
    F720 &gt; 40, "Old-Age"
)</f>
        <v>Old-Age</v>
      </c>
      <c r="H720" s="3" t="s">
        <v>14</v>
      </c>
      <c r="I720" s="3">
        <v>2</v>
      </c>
      <c r="J720" s="3">
        <v>30</v>
      </c>
      <c r="K720" s="3">
        <v>60</v>
      </c>
      <c r="L720" s="3">
        <f t="shared" si="23"/>
        <v>1.0028441920152347</v>
      </c>
    </row>
    <row r="721" spans="1:12" x14ac:dyDescent="0.3">
      <c r="A721" s="3">
        <v>720</v>
      </c>
      <c r="B721" s="4">
        <v>44952</v>
      </c>
      <c r="C721" s="9" t="str">
        <f t="shared" si="22"/>
        <v>January</v>
      </c>
      <c r="D721" s="3" t="s">
        <v>733</v>
      </c>
      <c r="E721" s="3" t="s">
        <v>13</v>
      </c>
      <c r="F721" s="3">
        <v>56</v>
      </c>
      <c r="G721" s="8" t="str" cm="1">
        <f t="array" ref="G721">_xlfn.IFS(
    F721 &lt; 25, "Young",
    F721 &lt;= 40, "Mid-Age",
    F721 &gt; 40, "Old-Age"
)</f>
        <v>Old-Age</v>
      </c>
      <c r="H721" s="3" t="s">
        <v>11</v>
      </c>
      <c r="I721" s="3">
        <v>3</v>
      </c>
      <c r="J721" s="3">
        <v>500</v>
      </c>
      <c r="K721" s="3">
        <v>1500</v>
      </c>
      <c r="L721" s="3">
        <f t="shared" si="23"/>
        <v>0.99742916053528163</v>
      </c>
    </row>
    <row r="722" spans="1:12" x14ac:dyDescent="0.3">
      <c r="A722" s="3">
        <v>721</v>
      </c>
      <c r="B722" s="4">
        <v>45060</v>
      </c>
      <c r="C722" s="9" t="str">
        <f t="shared" si="22"/>
        <v>May</v>
      </c>
      <c r="D722" s="3" t="s">
        <v>734</v>
      </c>
      <c r="E722" s="3" t="s">
        <v>13</v>
      </c>
      <c r="F722" s="3">
        <v>52</v>
      </c>
      <c r="G722" s="8" t="str" cm="1">
        <f t="array" ref="G722">_xlfn.IFS(
    F722 &lt; 25, "Young",
    F722 &lt;= 40, "Mid-Age",
    F722 &gt; 40, "Old-Age"
)</f>
        <v>Old-Age</v>
      </c>
      <c r="H722" s="3" t="s">
        <v>14</v>
      </c>
      <c r="I722" s="3">
        <v>1</v>
      </c>
      <c r="J722" s="3">
        <v>500</v>
      </c>
      <c r="K722" s="3">
        <v>500</v>
      </c>
      <c r="L722" s="3">
        <f t="shared" si="23"/>
        <v>1.010767089487026</v>
      </c>
    </row>
    <row r="723" spans="1:12" x14ac:dyDescent="0.3">
      <c r="A723" s="3">
        <v>722</v>
      </c>
      <c r="B723" s="4">
        <v>45121</v>
      </c>
      <c r="C723" s="9" t="str">
        <f t="shared" si="22"/>
        <v>July</v>
      </c>
      <c r="D723" s="3" t="s">
        <v>735</v>
      </c>
      <c r="E723" s="3" t="s">
        <v>10</v>
      </c>
      <c r="F723" s="3">
        <v>20</v>
      </c>
      <c r="G723" s="8" t="str" cm="1">
        <f t="array" ref="G723">_xlfn.IFS(
    F723 &lt; 25, "Young",
    F723 &lt;= 40, "Mid-Age",
    F723 &gt; 40, "Old-Age"
)</f>
        <v>Young</v>
      </c>
      <c r="H723" s="3" t="s">
        <v>11</v>
      </c>
      <c r="I723" s="3">
        <v>3</v>
      </c>
      <c r="J723" s="3">
        <v>300</v>
      </c>
      <c r="K723" s="3">
        <v>900</v>
      </c>
      <c r="L723" s="3">
        <f t="shared" si="23"/>
        <v>1.0242619539714413</v>
      </c>
    </row>
    <row r="724" spans="1:12" x14ac:dyDescent="0.3">
      <c r="A724" s="3">
        <v>723</v>
      </c>
      <c r="B724" s="4">
        <v>45094</v>
      </c>
      <c r="C724" s="9" t="str">
        <f t="shared" si="22"/>
        <v>June</v>
      </c>
      <c r="D724" s="3" t="s">
        <v>736</v>
      </c>
      <c r="E724" s="3" t="s">
        <v>13</v>
      </c>
      <c r="F724" s="3">
        <v>54</v>
      </c>
      <c r="G724" s="8" t="str" cm="1">
        <f t="array" ref="G724">_xlfn.IFS(
    F724 &lt; 25, "Young",
    F724 &lt;= 40, "Mid-Age",
    F724 &gt; 40, "Old-Age"
)</f>
        <v>Old-Age</v>
      </c>
      <c r="H724" s="3" t="s">
        <v>11</v>
      </c>
      <c r="I724" s="3">
        <v>4</v>
      </c>
      <c r="J724" s="3">
        <v>50</v>
      </c>
      <c r="K724" s="3">
        <v>200</v>
      </c>
      <c r="L724" s="3">
        <f t="shared" si="23"/>
        <v>1.0330379670712972</v>
      </c>
    </row>
    <row r="725" spans="1:12" x14ac:dyDescent="0.3">
      <c r="A725" s="3">
        <v>724</v>
      </c>
      <c r="B725" s="4">
        <v>45035</v>
      </c>
      <c r="C725" s="9" t="str">
        <f t="shared" si="22"/>
        <v>April</v>
      </c>
      <c r="D725" s="3" t="s">
        <v>737</v>
      </c>
      <c r="E725" s="3" t="s">
        <v>10</v>
      </c>
      <c r="F725" s="3">
        <v>61</v>
      </c>
      <c r="G725" s="8" t="str" cm="1">
        <f t="array" ref="G725">_xlfn.IFS(
    F725 &lt; 25, "Young",
    F725 &lt;= 40, "Mid-Age",
    F725 &gt; 40, "Old-Age"
)</f>
        <v>Old-Age</v>
      </c>
      <c r="H725" s="3" t="s">
        <v>14</v>
      </c>
      <c r="I725" s="3">
        <v>3</v>
      </c>
      <c r="J725" s="3">
        <v>50</v>
      </c>
      <c r="K725" s="3">
        <v>150</v>
      </c>
      <c r="L725" s="3">
        <f t="shared" si="23"/>
        <v>1.0274762651283482</v>
      </c>
    </row>
    <row r="726" spans="1:12" x14ac:dyDescent="0.3">
      <c r="A726" s="3">
        <v>725</v>
      </c>
      <c r="B726" s="4">
        <v>45159</v>
      </c>
      <c r="C726" s="9" t="str">
        <f t="shared" si="22"/>
        <v>August</v>
      </c>
      <c r="D726" s="3" t="s">
        <v>738</v>
      </c>
      <c r="E726" s="3" t="s">
        <v>10</v>
      </c>
      <c r="F726" s="3">
        <v>61</v>
      </c>
      <c r="G726" s="8" t="str" cm="1">
        <f t="array" ref="G726">_xlfn.IFS(
    F726 &lt; 25, "Young",
    F726 &lt;= 40, "Mid-Age",
    F726 &gt; 40, "Old-Age"
)</f>
        <v>Old-Age</v>
      </c>
      <c r="H726" s="3" t="s">
        <v>16</v>
      </c>
      <c r="I726" s="3">
        <v>1</v>
      </c>
      <c r="J726" s="3">
        <v>300</v>
      </c>
      <c r="K726" s="3">
        <v>300</v>
      </c>
      <c r="L726" s="3">
        <f t="shared" si="23"/>
        <v>1.0218931139008436</v>
      </c>
    </row>
    <row r="727" spans="1:12" x14ac:dyDescent="0.3">
      <c r="A727" s="3">
        <v>726</v>
      </c>
      <c r="B727" s="4">
        <v>45094</v>
      </c>
      <c r="C727" s="9" t="str">
        <f t="shared" si="22"/>
        <v>June</v>
      </c>
      <c r="D727" s="3" t="s">
        <v>739</v>
      </c>
      <c r="E727" s="3" t="s">
        <v>10</v>
      </c>
      <c r="F727" s="3">
        <v>47</v>
      </c>
      <c r="G727" s="8" t="str" cm="1">
        <f t="array" ref="G727">_xlfn.IFS(
    F727 &lt; 25, "Young",
    F727 &lt;= 40, "Mid-Age",
    F727 &gt; 40, "Old-Age"
)</f>
        <v>Old-Age</v>
      </c>
      <c r="H727" s="3" t="s">
        <v>14</v>
      </c>
      <c r="I727" s="3">
        <v>4</v>
      </c>
      <c r="J727" s="3">
        <v>300</v>
      </c>
      <c r="K727" s="3">
        <v>1200</v>
      </c>
      <c r="L727" s="3">
        <f t="shared" si="23"/>
        <v>1.0307137668244859</v>
      </c>
    </row>
    <row r="728" spans="1:12" x14ac:dyDescent="0.3">
      <c r="A728" s="3">
        <v>727</v>
      </c>
      <c r="B728" s="4">
        <v>45099</v>
      </c>
      <c r="C728" s="9" t="str">
        <f t="shared" si="22"/>
        <v>June</v>
      </c>
      <c r="D728" s="3" t="s">
        <v>740</v>
      </c>
      <c r="E728" s="3" t="s">
        <v>10</v>
      </c>
      <c r="F728" s="3">
        <v>55</v>
      </c>
      <c r="G728" s="8" t="str" cm="1">
        <f t="array" ref="G728">_xlfn.IFS(
    F728 &lt; 25, "Young",
    F728 &lt;= 40, "Mid-Age",
    F728 &gt; 40, "Old-Age"
)</f>
        <v>Old-Age</v>
      </c>
      <c r="H728" s="3" t="s">
        <v>11</v>
      </c>
      <c r="I728" s="3">
        <v>3</v>
      </c>
      <c r="J728" s="3">
        <v>300</v>
      </c>
      <c r="K728" s="3">
        <v>900</v>
      </c>
      <c r="L728" s="3">
        <f t="shared" si="23"/>
        <v>1.0396149089630122</v>
      </c>
    </row>
    <row r="729" spans="1:12" x14ac:dyDescent="0.3">
      <c r="A729" s="3">
        <v>728</v>
      </c>
      <c r="B729" s="4">
        <v>45121</v>
      </c>
      <c r="C729" s="9" t="str">
        <f t="shared" si="22"/>
        <v>July</v>
      </c>
      <c r="D729" s="3" t="s">
        <v>741</v>
      </c>
      <c r="E729" s="3" t="s">
        <v>10</v>
      </c>
      <c r="F729" s="3">
        <v>51</v>
      </c>
      <c r="G729" s="8" t="str" cm="1">
        <f t="array" ref="G729">_xlfn.IFS(
    F729 &lt; 25, "Young",
    F729 &lt;= 40, "Mid-Age",
    F729 &gt; 40, "Old-Age"
)</f>
        <v>Old-Age</v>
      </c>
      <c r="H729" s="3" t="s">
        <v>16</v>
      </c>
      <c r="I729" s="3">
        <v>3</v>
      </c>
      <c r="J729" s="3">
        <v>50</v>
      </c>
      <c r="K729" s="3">
        <v>150</v>
      </c>
      <c r="L729" s="3">
        <f t="shared" si="23"/>
        <v>1.0485979320807959</v>
      </c>
    </row>
    <row r="730" spans="1:12" x14ac:dyDescent="0.3">
      <c r="A730" s="3">
        <v>729</v>
      </c>
      <c r="B730" s="4">
        <v>45069</v>
      </c>
      <c r="C730" s="9" t="str">
        <f t="shared" si="22"/>
        <v>May</v>
      </c>
      <c r="D730" s="3" t="s">
        <v>742</v>
      </c>
      <c r="E730" s="3" t="s">
        <v>10</v>
      </c>
      <c r="F730" s="3">
        <v>29</v>
      </c>
      <c r="G730" s="8" t="str" cm="1">
        <f t="array" ref="G730">_xlfn.IFS(
    F730 &lt; 25, "Young",
    F730 &lt;= 40, "Mid-Age",
    F730 &gt; 40, "Old-Age"
)</f>
        <v>Mid-Age</v>
      </c>
      <c r="H730" s="3" t="s">
        <v>14</v>
      </c>
      <c r="I730" s="3">
        <v>4</v>
      </c>
      <c r="J730" s="3">
        <v>300</v>
      </c>
      <c r="K730" s="3">
        <v>1200</v>
      </c>
      <c r="L730" s="3">
        <f t="shared" si="23"/>
        <v>1.0429398254133904</v>
      </c>
    </row>
    <row r="731" spans="1:12" x14ac:dyDescent="0.3">
      <c r="A731" s="3">
        <v>730</v>
      </c>
      <c r="B731" s="4">
        <v>45142</v>
      </c>
      <c r="C731" s="9" t="str">
        <f t="shared" si="22"/>
        <v>August</v>
      </c>
      <c r="D731" s="3" t="s">
        <v>743</v>
      </c>
      <c r="E731" s="3" t="s">
        <v>13</v>
      </c>
      <c r="F731" s="3">
        <v>36</v>
      </c>
      <c r="G731" s="8" t="str" cm="1">
        <f t="array" ref="G731">_xlfn.IFS(
    F731 &lt; 25, "Young",
    F731 &lt;= 40, "Mid-Age",
    F731 &gt; 40, "Old-Age"
)</f>
        <v>Mid-Age</v>
      </c>
      <c r="H731" s="3" t="s">
        <v>14</v>
      </c>
      <c r="I731" s="3">
        <v>2</v>
      </c>
      <c r="J731" s="3">
        <v>25</v>
      </c>
      <c r="K731" s="3">
        <v>50</v>
      </c>
      <c r="L731" s="3">
        <f t="shared" si="23"/>
        <v>1.0519879411156381</v>
      </c>
    </row>
    <row r="732" spans="1:12" x14ac:dyDescent="0.3">
      <c r="A732" s="3">
        <v>731</v>
      </c>
      <c r="B732" s="4">
        <v>45056</v>
      </c>
      <c r="C732" s="9" t="str">
        <f t="shared" si="22"/>
        <v>May</v>
      </c>
      <c r="D732" s="3" t="s">
        <v>744</v>
      </c>
      <c r="E732" s="3" t="s">
        <v>10</v>
      </c>
      <c r="F732" s="3">
        <v>54</v>
      </c>
      <c r="G732" s="8" t="str" cm="1">
        <f t="array" ref="G732">_xlfn.IFS(
    F732 &lt; 25, "Young",
    F732 &lt;= 40, "Mid-Age",
    F732 &gt; 40, "Old-Age"
)</f>
        <v>Old-Age</v>
      </c>
      <c r="H732" s="3" t="s">
        <v>14</v>
      </c>
      <c r="I732" s="3">
        <v>4</v>
      </c>
      <c r="J732" s="3">
        <v>500</v>
      </c>
      <c r="K732" s="3">
        <v>2000</v>
      </c>
      <c r="L732" s="3">
        <f t="shared" si="23"/>
        <v>1.0464226251019269</v>
      </c>
    </row>
    <row r="733" spans="1:12" x14ac:dyDescent="0.3">
      <c r="A733" s="3">
        <v>732</v>
      </c>
      <c r="B733" s="4">
        <v>44968</v>
      </c>
      <c r="C733" s="9" t="str">
        <f t="shared" si="22"/>
        <v>February</v>
      </c>
      <c r="D733" s="3" t="s">
        <v>745</v>
      </c>
      <c r="E733" s="3" t="s">
        <v>10</v>
      </c>
      <c r="F733" s="3">
        <v>61</v>
      </c>
      <c r="G733" s="8" t="str" cm="1">
        <f t="array" ref="G733">_xlfn.IFS(
    F733 &lt; 25, "Young",
    F733 &lt;= 40, "Mid-Age",
    F733 &gt; 40, "Old-Age"
)</f>
        <v>Old-Age</v>
      </c>
      <c r="H733" s="3" t="s">
        <v>16</v>
      </c>
      <c r="I733" s="3">
        <v>2</v>
      </c>
      <c r="J733" s="3">
        <v>500</v>
      </c>
      <c r="K733" s="3">
        <v>1000</v>
      </c>
      <c r="L733" s="3">
        <f t="shared" si="23"/>
        <v>1.0610382864283738</v>
      </c>
    </row>
    <row r="734" spans="1:12" x14ac:dyDescent="0.3">
      <c r="A734" s="3">
        <v>733</v>
      </c>
      <c r="B734" s="4">
        <v>45167</v>
      </c>
      <c r="C734" s="9" t="str">
        <f t="shared" si="22"/>
        <v>August</v>
      </c>
      <c r="D734" s="3" t="s">
        <v>746</v>
      </c>
      <c r="E734" s="3" t="s">
        <v>10</v>
      </c>
      <c r="F734" s="3">
        <v>34</v>
      </c>
      <c r="G734" s="8" t="str" cm="1">
        <f t="array" ref="G734">_xlfn.IFS(
    F734 &lt; 25, "Young",
    F734 &lt;= 40, "Mid-Age",
    F734 &gt; 40, "Old-Age"
)</f>
        <v>Mid-Age</v>
      </c>
      <c r="H734" s="3" t="s">
        <v>11</v>
      </c>
      <c r="I734" s="3">
        <v>1</v>
      </c>
      <c r="J734" s="3">
        <v>30</v>
      </c>
      <c r="K734" s="3">
        <v>30</v>
      </c>
      <c r="L734" s="3">
        <f t="shared" si="23"/>
        <v>1.0758488312715486</v>
      </c>
    </row>
    <row r="735" spans="1:12" x14ac:dyDescent="0.3">
      <c r="A735" s="3">
        <v>734</v>
      </c>
      <c r="B735" s="4">
        <v>44936</v>
      </c>
      <c r="C735" s="9" t="str">
        <f t="shared" si="22"/>
        <v>January</v>
      </c>
      <c r="D735" s="3" t="s">
        <v>747</v>
      </c>
      <c r="E735" s="3" t="s">
        <v>13</v>
      </c>
      <c r="F735" s="3">
        <v>27</v>
      </c>
      <c r="G735" s="8" t="str" cm="1">
        <f t="array" ref="G735">_xlfn.IFS(
    F735 &lt; 25, "Young",
    F735 &lt;= 40, "Mid-Age",
    F735 &gt; 40, "Old-Age"
)</f>
        <v>Mid-Age</v>
      </c>
      <c r="H735" s="3" t="s">
        <v>14</v>
      </c>
      <c r="I735" s="3">
        <v>1</v>
      </c>
      <c r="J735" s="3">
        <v>30</v>
      </c>
      <c r="K735" s="3">
        <v>30</v>
      </c>
      <c r="L735" s="3">
        <f t="shared" si="23"/>
        <v>1.0701594295422772</v>
      </c>
    </row>
    <row r="736" spans="1:12" x14ac:dyDescent="0.3">
      <c r="A736" s="3">
        <v>735</v>
      </c>
      <c r="B736" s="4">
        <v>45203</v>
      </c>
      <c r="C736" s="9" t="str">
        <f t="shared" si="22"/>
        <v>October</v>
      </c>
      <c r="D736" s="3" t="s">
        <v>748</v>
      </c>
      <c r="E736" s="3" t="s">
        <v>13</v>
      </c>
      <c r="F736" s="3">
        <v>64</v>
      </c>
      <c r="G736" s="8" t="str" cm="1">
        <f t="array" ref="G736">_xlfn.IFS(
    F736 &lt; 25, "Young",
    F736 &lt;= 40, "Mid-Age",
    F736 &gt; 40, "Old-Age"
)</f>
        <v>Old-Age</v>
      </c>
      <c r="H736" s="3" t="s">
        <v>14</v>
      </c>
      <c r="I736" s="3">
        <v>4</v>
      </c>
      <c r="J736" s="3">
        <v>500</v>
      </c>
      <c r="K736" s="3">
        <v>2000</v>
      </c>
      <c r="L736" s="3">
        <f t="shared" si="23"/>
        <v>1.0644482898084857</v>
      </c>
    </row>
    <row r="737" spans="1:12" x14ac:dyDescent="0.3">
      <c r="A737" s="3">
        <v>736</v>
      </c>
      <c r="B737" s="4">
        <v>44953</v>
      </c>
      <c r="C737" s="9" t="str">
        <f t="shared" si="22"/>
        <v>January</v>
      </c>
      <c r="D737" s="3" t="s">
        <v>749</v>
      </c>
      <c r="E737" s="3" t="s">
        <v>10</v>
      </c>
      <c r="F737" s="3">
        <v>29</v>
      </c>
      <c r="G737" s="8" t="str" cm="1">
        <f t="array" ref="G737">_xlfn.IFS(
    F737 &lt; 25, "Young",
    F737 &lt;= 40, "Mid-Age",
    F737 &gt; 40, "Old-Age"
)</f>
        <v>Mid-Age</v>
      </c>
      <c r="H737" s="3" t="s">
        <v>14</v>
      </c>
      <c r="I737" s="3">
        <v>4</v>
      </c>
      <c r="J737" s="3">
        <v>25</v>
      </c>
      <c r="K737" s="3">
        <v>100</v>
      </c>
      <c r="L737" s="3">
        <f t="shared" si="23"/>
        <v>1.0794197730841588</v>
      </c>
    </row>
    <row r="738" spans="1:12" x14ac:dyDescent="0.3">
      <c r="A738" s="3">
        <v>737</v>
      </c>
      <c r="B738" s="4">
        <v>45106</v>
      </c>
      <c r="C738" s="9" t="str">
        <f t="shared" si="22"/>
        <v>June</v>
      </c>
      <c r="D738" s="3" t="s">
        <v>750</v>
      </c>
      <c r="E738" s="3" t="s">
        <v>13</v>
      </c>
      <c r="F738" s="3">
        <v>33</v>
      </c>
      <c r="G738" s="8" t="str" cm="1">
        <f t="array" ref="G738">_xlfn.IFS(
    F738 &lt; 25, "Young",
    F738 &lt;= 40, "Mid-Age",
    F738 &gt; 40, "Old-Age"
)</f>
        <v>Mid-Age</v>
      </c>
      <c r="H738" s="3" t="s">
        <v>14</v>
      </c>
      <c r="I738" s="3">
        <v>1</v>
      </c>
      <c r="J738" s="3">
        <v>50</v>
      </c>
      <c r="K738" s="3">
        <v>50</v>
      </c>
      <c r="L738" s="3">
        <f t="shared" si="23"/>
        <v>1.0737403951380509</v>
      </c>
    </row>
    <row r="739" spans="1:12" x14ac:dyDescent="0.3">
      <c r="A739" s="3">
        <v>738</v>
      </c>
      <c r="B739" s="4">
        <v>45041</v>
      </c>
      <c r="C739" s="9" t="str">
        <f t="shared" si="22"/>
        <v>April</v>
      </c>
      <c r="D739" s="3" t="s">
        <v>751</v>
      </c>
      <c r="E739" s="3" t="s">
        <v>10</v>
      </c>
      <c r="F739" s="3">
        <v>41</v>
      </c>
      <c r="G739" s="8" t="str" cm="1">
        <f t="array" ref="G739">_xlfn.IFS(
    F739 &lt; 25, "Young",
    F739 &lt;= 40, "Mid-Age",
    F739 &gt; 40, "Old-Age"
)</f>
        <v>Old-Age</v>
      </c>
      <c r="H739" s="3" t="s">
        <v>14</v>
      </c>
      <c r="I739" s="3">
        <v>2</v>
      </c>
      <c r="J739" s="3">
        <v>50</v>
      </c>
      <c r="K739" s="3">
        <v>100</v>
      </c>
      <c r="L739" s="3">
        <f t="shared" si="23"/>
        <v>1.0678937504164334</v>
      </c>
    </row>
    <row r="740" spans="1:12" x14ac:dyDescent="0.3">
      <c r="A740" s="3">
        <v>739</v>
      </c>
      <c r="B740" s="4">
        <v>45259</v>
      </c>
      <c r="C740" s="9" t="str">
        <f t="shared" si="22"/>
        <v>November</v>
      </c>
      <c r="D740" s="3" t="s">
        <v>752</v>
      </c>
      <c r="E740" s="3" t="s">
        <v>10</v>
      </c>
      <c r="F740" s="3">
        <v>36</v>
      </c>
      <c r="G740" s="8" t="str" cm="1">
        <f t="array" ref="G740">_xlfn.IFS(
    F740 &lt; 25, "Young",
    F740 &lt;= 40, "Mid-Age",
    F740 &gt; 40, "Old-Age"
)</f>
        <v>Mid-Age</v>
      </c>
      <c r="H740" s="3" t="s">
        <v>11</v>
      </c>
      <c r="I740" s="3">
        <v>1</v>
      </c>
      <c r="J740" s="3">
        <v>25</v>
      </c>
      <c r="K740" s="3">
        <v>25</v>
      </c>
      <c r="L740" s="3">
        <f t="shared" si="23"/>
        <v>1.0620238002732516</v>
      </c>
    </row>
    <row r="741" spans="1:12" x14ac:dyDescent="0.3">
      <c r="A741" s="3">
        <v>740</v>
      </c>
      <c r="B741" s="4">
        <v>44962</v>
      </c>
      <c r="C741" s="9" t="str">
        <f t="shared" si="22"/>
        <v>February</v>
      </c>
      <c r="D741" s="3" t="s">
        <v>753</v>
      </c>
      <c r="E741" s="3" t="s">
        <v>13</v>
      </c>
      <c r="F741" s="3">
        <v>25</v>
      </c>
      <c r="G741" s="8" t="str" cm="1">
        <f t="array" ref="G741">_xlfn.IFS(
    F741 &lt; 25, "Young",
    F741 &lt;= 40, "Mid-Age",
    F741 &gt; 40, "Old-Age"
)</f>
        <v>Mid-Age</v>
      </c>
      <c r="H741" s="3" t="s">
        <v>11</v>
      </c>
      <c r="I741" s="3">
        <v>4</v>
      </c>
      <c r="J741" s="3">
        <v>50</v>
      </c>
      <c r="K741" s="3">
        <v>200</v>
      </c>
      <c r="L741" s="3">
        <f t="shared" si="23"/>
        <v>1.0562751215152806</v>
      </c>
    </row>
    <row r="742" spans="1:12" x14ac:dyDescent="0.3">
      <c r="A742" s="3">
        <v>741</v>
      </c>
      <c r="B742" s="4">
        <v>45260</v>
      </c>
      <c r="C742" s="9" t="str">
        <f t="shared" si="22"/>
        <v>November</v>
      </c>
      <c r="D742" s="3" t="s">
        <v>754</v>
      </c>
      <c r="E742" s="3" t="s">
        <v>10</v>
      </c>
      <c r="F742" s="3">
        <v>48</v>
      </c>
      <c r="G742" s="8" t="str" cm="1">
        <f t="array" ref="G742">_xlfn.IFS(
    F742 &lt; 25, "Young",
    F742 &lt;= 40, "Mid-Age",
    F742 &gt; 40, "Old-Age"
)</f>
        <v>Old-Age</v>
      </c>
      <c r="H742" s="3" t="s">
        <v>14</v>
      </c>
      <c r="I742" s="3">
        <v>1</v>
      </c>
      <c r="J742" s="3">
        <v>300</v>
      </c>
      <c r="K742" s="3">
        <v>300</v>
      </c>
      <c r="L742" s="3">
        <f t="shared" si="23"/>
        <v>1.0503572046370946</v>
      </c>
    </row>
    <row r="743" spans="1:12" x14ac:dyDescent="0.3">
      <c r="A743" s="3">
        <v>742</v>
      </c>
      <c r="B743" s="4">
        <v>44947</v>
      </c>
      <c r="C743" s="9" t="str">
        <f t="shared" si="22"/>
        <v>January</v>
      </c>
      <c r="D743" s="3" t="s">
        <v>755</v>
      </c>
      <c r="E743" s="3" t="s">
        <v>13</v>
      </c>
      <c r="F743" s="3">
        <v>38</v>
      </c>
      <c r="G743" s="8" t="str" cm="1">
        <f t="array" ref="G743">_xlfn.IFS(
    F743 &lt; 25, "Young",
    F743 &lt;= 40, "Mid-Age",
    F743 &gt; 40, "Old-Age"
)</f>
        <v>Mid-Age</v>
      </c>
      <c r="H743" s="3" t="s">
        <v>16</v>
      </c>
      <c r="I743" s="3">
        <v>4</v>
      </c>
      <c r="J743" s="3">
        <v>500</v>
      </c>
      <c r="K743" s="3">
        <v>2000</v>
      </c>
      <c r="L743" s="3">
        <f t="shared" si="23"/>
        <v>1.0599900995903859</v>
      </c>
    </row>
    <row r="744" spans="1:12" x14ac:dyDescent="0.3">
      <c r="A744" s="3">
        <v>743</v>
      </c>
      <c r="B744" s="4">
        <v>44942</v>
      </c>
      <c r="C744" s="9" t="str">
        <f t="shared" si="22"/>
        <v>January</v>
      </c>
      <c r="D744" s="3" t="s">
        <v>756</v>
      </c>
      <c r="E744" s="3" t="s">
        <v>13</v>
      </c>
      <c r="F744" s="3">
        <v>34</v>
      </c>
      <c r="G744" s="8" t="str" cm="1">
        <f t="array" ref="G744">_xlfn.IFS(
    F744 &lt; 25, "Young",
    F744 &lt;= 40, "Mid-Age",
    F744 &gt; 40, "Old-Age"
)</f>
        <v>Mid-Age</v>
      </c>
      <c r="H744" s="3" t="s">
        <v>11</v>
      </c>
      <c r="I744" s="3">
        <v>4</v>
      </c>
      <c r="J744" s="3">
        <v>500</v>
      </c>
      <c r="K744" s="3">
        <v>2000</v>
      </c>
      <c r="L744" s="3">
        <f t="shared" si="23"/>
        <v>1.0753054287832726</v>
      </c>
    </row>
    <row r="745" spans="1:12" x14ac:dyDescent="0.3">
      <c r="A745" s="3">
        <v>744</v>
      </c>
      <c r="B745" s="4">
        <v>45053</v>
      </c>
      <c r="C745" s="9" t="str">
        <f t="shared" si="22"/>
        <v>May</v>
      </c>
      <c r="D745" s="3" t="s">
        <v>757</v>
      </c>
      <c r="E745" s="3" t="s">
        <v>10</v>
      </c>
      <c r="F745" s="3">
        <v>40</v>
      </c>
      <c r="G745" s="8" t="str" cm="1">
        <f t="array" ref="G745">_xlfn.IFS(
    F745 &lt; 25, "Young",
    F745 &lt;= 40, "Mid-Age",
    F745 &gt; 40, "Old-Age"
)</f>
        <v>Mid-Age</v>
      </c>
      <c r="H745" s="3" t="s">
        <v>16</v>
      </c>
      <c r="I745" s="3">
        <v>1</v>
      </c>
      <c r="J745" s="3">
        <v>25</v>
      </c>
      <c r="K745" s="3">
        <v>25</v>
      </c>
      <c r="L745" s="3">
        <f t="shared" si="23"/>
        <v>1.0908289213771147</v>
      </c>
    </row>
    <row r="746" spans="1:12" x14ac:dyDescent="0.3">
      <c r="A746" s="3">
        <v>745</v>
      </c>
      <c r="B746" s="4">
        <v>45029</v>
      </c>
      <c r="C746" s="9" t="str">
        <f t="shared" si="22"/>
        <v>April</v>
      </c>
      <c r="D746" s="3" t="s">
        <v>758</v>
      </c>
      <c r="E746" s="3" t="s">
        <v>10</v>
      </c>
      <c r="F746" s="3">
        <v>54</v>
      </c>
      <c r="G746" s="8" t="str" cm="1">
        <f t="array" ref="G746">_xlfn.IFS(
    F746 &lt; 25, "Young",
    F746 &lt;= 40, "Mid-Age",
    F746 &gt; 40, "Old-Age"
)</f>
        <v>Old-Age</v>
      </c>
      <c r="H746" s="3" t="s">
        <v>11</v>
      </c>
      <c r="I746" s="3">
        <v>2</v>
      </c>
      <c r="J746" s="3">
        <v>50</v>
      </c>
      <c r="K746" s="3">
        <v>100</v>
      </c>
      <c r="L746" s="3">
        <f t="shared" si="23"/>
        <v>1.0849736199821682</v>
      </c>
    </row>
    <row r="747" spans="1:12" x14ac:dyDescent="0.3">
      <c r="A747" s="3">
        <v>746</v>
      </c>
      <c r="B747" s="4">
        <v>44937</v>
      </c>
      <c r="C747" s="9" t="str">
        <f t="shared" si="22"/>
        <v>January</v>
      </c>
      <c r="D747" s="3" t="s">
        <v>759</v>
      </c>
      <c r="E747" s="3" t="s">
        <v>13</v>
      </c>
      <c r="F747" s="3">
        <v>33</v>
      </c>
      <c r="G747" s="8" t="str" cm="1">
        <f t="array" ref="G747">_xlfn.IFS(
    F747 &lt; 25, "Young",
    F747 &lt;= 40, "Mid-Age",
    F747 &gt; 40, "Old-Age"
)</f>
        <v>Mid-Age</v>
      </c>
      <c r="H747" s="3" t="s">
        <v>14</v>
      </c>
      <c r="I747" s="3">
        <v>3</v>
      </c>
      <c r="J747" s="3">
        <v>30</v>
      </c>
      <c r="K747" s="3">
        <v>90</v>
      </c>
      <c r="L747" s="3">
        <f t="shared" si="23"/>
        <v>1.0789462878224192</v>
      </c>
    </row>
    <row r="748" spans="1:12" x14ac:dyDescent="0.3">
      <c r="A748" s="3">
        <v>747</v>
      </c>
      <c r="B748" s="4">
        <v>45245</v>
      </c>
      <c r="C748" s="9" t="str">
        <f t="shared" si="22"/>
        <v>November</v>
      </c>
      <c r="D748" s="3" t="s">
        <v>760</v>
      </c>
      <c r="E748" s="3" t="s">
        <v>10</v>
      </c>
      <c r="F748" s="3">
        <v>23</v>
      </c>
      <c r="G748" s="8" t="str" cm="1">
        <f t="array" ref="G748">_xlfn.IFS(
    F748 &lt; 25, "Young",
    F748 &lt;= 40, "Mid-Age",
    F748 &gt; 40, "Old-Age"
)</f>
        <v>Young</v>
      </c>
      <c r="H748" s="3" t="s">
        <v>11</v>
      </c>
      <c r="I748" s="3">
        <v>1</v>
      </c>
      <c r="J748" s="3">
        <v>30</v>
      </c>
      <c r="K748" s="3">
        <v>30</v>
      </c>
      <c r="L748" s="3">
        <f t="shared" si="23"/>
        <v>1.0729681329368879</v>
      </c>
    </row>
    <row r="749" spans="1:12" x14ac:dyDescent="0.3">
      <c r="A749" s="3">
        <v>748</v>
      </c>
      <c r="B749" s="4">
        <v>45005</v>
      </c>
      <c r="C749" s="9" t="str">
        <f t="shared" si="22"/>
        <v>March</v>
      </c>
      <c r="D749" s="3" t="s">
        <v>761</v>
      </c>
      <c r="E749" s="3" t="s">
        <v>10</v>
      </c>
      <c r="F749" s="3">
        <v>25</v>
      </c>
      <c r="G749" s="8" t="str" cm="1">
        <f t="array" ref="G749">_xlfn.IFS(
    F749 &lt; 25, "Young",
    F749 &lt;= 40, "Mid-Age",
    F749 &gt; 40, "Old-Age"
)</f>
        <v>Mid-Age</v>
      </c>
      <c r="H749" s="3" t="s">
        <v>14</v>
      </c>
      <c r="I749" s="3">
        <v>3</v>
      </c>
      <c r="J749" s="3">
        <v>50</v>
      </c>
      <c r="K749" s="3">
        <v>150</v>
      </c>
      <c r="L749" s="3">
        <f t="shared" si="23"/>
        <v>1.0669660012146196</v>
      </c>
    </row>
    <row r="750" spans="1:12" x14ac:dyDescent="0.3">
      <c r="A750" s="3">
        <v>749</v>
      </c>
      <c r="B750" s="4">
        <v>45049</v>
      </c>
      <c r="C750" s="9" t="str">
        <f t="shared" si="22"/>
        <v>May</v>
      </c>
      <c r="D750" s="3" t="s">
        <v>762</v>
      </c>
      <c r="E750" s="3" t="s">
        <v>10</v>
      </c>
      <c r="F750" s="3">
        <v>42</v>
      </c>
      <c r="G750" s="8" t="str" cm="1">
        <f t="array" ref="G750">_xlfn.IFS(
    F750 &lt; 25, "Young",
    F750 &lt;= 40, "Mid-Age",
    F750 &gt; 40, "Old-Age"
)</f>
        <v>Old-Age</v>
      </c>
      <c r="H750" s="3" t="s">
        <v>11</v>
      </c>
      <c r="I750" s="3">
        <v>1</v>
      </c>
      <c r="J750" s="3">
        <v>30</v>
      </c>
      <c r="K750" s="3">
        <v>30</v>
      </c>
      <c r="L750" s="3">
        <f t="shared" si="23"/>
        <v>1.0608628183066093</v>
      </c>
    </row>
    <row r="751" spans="1:12" x14ac:dyDescent="0.3">
      <c r="A751" s="3">
        <v>750</v>
      </c>
      <c r="B751" s="4">
        <v>44991</v>
      </c>
      <c r="C751" s="9" t="str">
        <f t="shared" si="22"/>
        <v>March</v>
      </c>
      <c r="D751" s="3" t="s">
        <v>763</v>
      </c>
      <c r="E751" s="3" t="s">
        <v>13</v>
      </c>
      <c r="F751" s="3">
        <v>35</v>
      </c>
      <c r="G751" s="8" t="str" cm="1">
        <f t="array" ref="G751">_xlfn.IFS(
    F751 &lt; 25, "Young",
    F751 &lt;= 40, "Mid-Age",
    F751 &gt; 40, "Old-Age"
)</f>
        <v>Mid-Age</v>
      </c>
      <c r="H751" s="3" t="s">
        <v>14</v>
      </c>
      <c r="I751" s="3">
        <v>3</v>
      </c>
      <c r="J751" s="3">
        <v>25</v>
      </c>
      <c r="K751" s="3">
        <v>75</v>
      </c>
      <c r="L751" s="3">
        <f t="shared" si="23"/>
        <v>1.0548104489876085</v>
      </c>
    </row>
    <row r="752" spans="1:12" x14ac:dyDescent="0.3">
      <c r="A752" s="3">
        <v>751</v>
      </c>
      <c r="B752" s="4">
        <v>45169</v>
      </c>
      <c r="C752" s="9" t="str">
        <f t="shared" si="22"/>
        <v>August</v>
      </c>
      <c r="D752" s="3" t="s">
        <v>764</v>
      </c>
      <c r="E752" s="3" t="s">
        <v>13</v>
      </c>
      <c r="F752" s="3">
        <v>42</v>
      </c>
      <c r="G752" s="8" t="str" cm="1">
        <f t="array" ref="G752">_xlfn.IFS(
    F752 &lt; 25, "Young",
    F752 &lt;= 40, "Mid-Age",
    F752 &gt; 40, "Old-Age"
)</f>
        <v>Old-Age</v>
      </c>
      <c r="H752" s="3" t="s">
        <v>14</v>
      </c>
      <c r="I752" s="3">
        <v>2</v>
      </c>
      <c r="J752" s="3">
        <v>25</v>
      </c>
      <c r="K752" s="3">
        <v>50</v>
      </c>
      <c r="L752" s="3">
        <f t="shared" si="23"/>
        <v>1.0488095500288848</v>
      </c>
    </row>
    <row r="753" spans="1:12" x14ac:dyDescent="0.3">
      <c r="A753" s="3">
        <v>752</v>
      </c>
      <c r="B753" s="4">
        <v>45269</v>
      </c>
      <c r="C753" s="9" t="str">
        <f t="shared" si="22"/>
        <v>December</v>
      </c>
      <c r="D753" s="3" t="s">
        <v>765</v>
      </c>
      <c r="E753" s="3" t="s">
        <v>10</v>
      </c>
      <c r="F753" s="3">
        <v>29</v>
      </c>
      <c r="G753" s="8" t="str" cm="1">
        <f t="array" ref="G753">_xlfn.IFS(
    F753 &lt; 25, "Young",
    F753 &lt;= 40, "Mid-Age",
    F753 &gt; 40, "Old-Age"
)</f>
        <v>Mid-Age</v>
      </c>
      <c r="H753" s="3" t="s">
        <v>14</v>
      </c>
      <c r="I753" s="3">
        <v>2</v>
      </c>
      <c r="J753" s="3">
        <v>50</v>
      </c>
      <c r="K753" s="3">
        <v>100</v>
      </c>
      <c r="L753" s="3">
        <f t="shared" si="23"/>
        <v>1.0427846898279094</v>
      </c>
    </row>
    <row r="754" spans="1:12" x14ac:dyDescent="0.3">
      <c r="A754" s="3">
        <v>753</v>
      </c>
      <c r="B754" s="4">
        <v>44985</v>
      </c>
      <c r="C754" s="9" t="str">
        <f t="shared" si="22"/>
        <v>February</v>
      </c>
      <c r="D754" s="3" t="s">
        <v>766</v>
      </c>
      <c r="E754" s="3" t="s">
        <v>13</v>
      </c>
      <c r="F754" s="3">
        <v>32</v>
      </c>
      <c r="G754" s="8" t="str" cm="1">
        <f t="array" ref="G754">_xlfn.IFS(
    F754 &lt; 25, "Young",
    F754 &lt;= 40, "Mid-Age",
    F754 &gt; 40, "Old-Age"
)</f>
        <v>Mid-Age</v>
      </c>
      <c r="H754" s="3" t="s">
        <v>14</v>
      </c>
      <c r="I754" s="3">
        <v>1</v>
      </c>
      <c r="J754" s="3">
        <v>30</v>
      </c>
      <c r="K754" s="3">
        <v>30</v>
      </c>
      <c r="L754" s="3">
        <f t="shared" si="23"/>
        <v>1.0365760119296408</v>
      </c>
    </row>
    <row r="755" spans="1:12" x14ac:dyDescent="0.3">
      <c r="A755" s="3">
        <v>754</v>
      </c>
      <c r="B755" s="4">
        <v>45215</v>
      </c>
      <c r="C755" s="9" t="str">
        <f t="shared" si="22"/>
        <v>October</v>
      </c>
      <c r="D755" s="3" t="s">
        <v>767</v>
      </c>
      <c r="E755" s="3" t="s">
        <v>13</v>
      </c>
      <c r="F755" s="3">
        <v>43</v>
      </c>
      <c r="G755" s="8" t="str" cm="1">
        <f t="array" ref="G755">_xlfn.IFS(
    F755 &lt; 25, "Young",
    F755 &lt;= 40, "Mid-Age",
    F755 &gt; 40, "Old-Age"
)</f>
        <v>Old-Age</v>
      </c>
      <c r="H755" s="3" t="s">
        <v>16</v>
      </c>
      <c r="I755" s="3">
        <v>4</v>
      </c>
      <c r="J755" s="3">
        <v>25</v>
      </c>
      <c r="K755" s="3">
        <v>100</v>
      </c>
      <c r="L755" s="3">
        <f t="shared" si="23"/>
        <v>1.0304223010570428</v>
      </c>
    </row>
    <row r="756" spans="1:12" x14ac:dyDescent="0.3">
      <c r="A756" s="3">
        <v>755</v>
      </c>
      <c r="B756" s="4">
        <v>45038</v>
      </c>
      <c r="C756" s="9" t="str">
        <f t="shared" si="22"/>
        <v>April</v>
      </c>
      <c r="D756" s="3" t="s">
        <v>768</v>
      </c>
      <c r="E756" s="3" t="s">
        <v>13</v>
      </c>
      <c r="F756" s="3">
        <v>58</v>
      </c>
      <c r="G756" s="8" t="str" cm="1">
        <f t="array" ref="G756">_xlfn.IFS(
    F756 &lt; 25, "Young",
    F756 &lt;= 40, "Mid-Age",
    F756 &gt; 40, "Old-Age"
)</f>
        <v>Old-Age</v>
      </c>
      <c r="H756" s="3" t="s">
        <v>14</v>
      </c>
      <c r="I756" s="3">
        <v>3</v>
      </c>
      <c r="J756" s="3">
        <v>25</v>
      </c>
      <c r="K756" s="3">
        <v>75</v>
      </c>
      <c r="L756" s="3">
        <f t="shared" si="23"/>
        <v>1.0243205563321081</v>
      </c>
    </row>
    <row r="757" spans="1:12" x14ac:dyDescent="0.3">
      <c r="A757" s="3">
        <v>756</v>
      </c>
      <c r="B757" s="4">
        <v>45165</v>
      </c>
      <c r="C757" s="9" t="str">
        <f t="shared" si="22"/>
        <v>August</v>
      </c>
      <c r="D757" s="3" t="s">
        <v>769</v>
      </c>
      <c r="E757" s="3" t="s">
        <v>13</v>
      </c>
      <c r="F757" s="3">
        <v>62</v>
      </c>
      <c r="G757" s="8" t="str" cm="1">
        <f t="array" ref="G757">_xlfn.IFS(
    F757 &lt; 25, "Young",
    F757 &lt;= 40, "Mid-Age",
    F757 &gt; 40, "Old-Age"
)</f>
        <v>Old-Age</v>
      </c>
      <c r="H757" s="3" t="s">
        <v>16</v>
      </c>
      <c r="I757" s="3">
        <v>4</v>
      </c>
      <c r="J757" s="3">
        <v>300</v>
      </c>
      <c r="K757" s="3">
        <v>1200</v>
      </c>
      <c r="L757" s="3">
        <f t="shared" si="23"/>
        <v>1.0181937959424456</v>
      </c>
    </row>
    <row r="758" spans="1:12" x14ac:dyDescent="0.3">
      <c r="A758" s="3">
        <v>757</v>
      </c>
      <c r="B758" s="4">
        <v>45285</v>
      </c>
      <c r="C758" s="9" t="str">
        <f t="shared" si="22"/>
        <v>December</v>
      </c>
      <c r="D758" s="3" t="s">
        <v>770</v>
      </c>
      <c r="E758" s="3" t="s">
        <v>13</v>
      </c>
      <c r="F758" s="3">
        <v>43</v>
      </c>
      <c r="G758" s="8" t="str" cm="1">
        <f t="array" ref="G758">_xlfn.IFS(
    F758 &lt; 25, "Young",
    F758 &lt;= 40, "Mid-Age",
    F758 &gt; 40, "Old-Age"
)</f>
        <v>Old-Age</v>
      </c>
      <c r="H758" s="3" t="s">
        <v>16</v>
      </c>
      <c r="I758" s="3">
        <v>4</v>
      </c>
      <c r="J758" s="3">
        <v>300</v>
      </c>
      <c r="K758" s="3">
        <v>1200</v>
      </c>
      <c r="L758" s="3">
        <f t="shared" si="23"/>
        <v>1.0281293758008641</v>
      </c>
    </row>
    <row r="759" spans="1:12" x14ac:dyDescent="0.3">
      <c r="A759" s="3">
        <v>758</v>
      </c>
      <c r="B759" s="4">
        <v>45058</v>
      </c>
      <c r="C759" s="9" t="str">
        <f t="shared" si="22"/>
        <v>May</v>
      </c>
      <c r="D759" s="3" t="s">
        <v>771</v>
      </c>
      <c r="E759" s="3" t="s">
        <v>10</v>
      </c>
      <c r="F759" s="3">
        <v>64</v>
      </c>
      <c r="G759" s="8" t="str" cm="1">
        <f t="array" ref="G759">_xlfn.IFS(
    F759 &lt; 25, "Young",
    F759 &lt;= 40, "Mid-Age",
    F759 &gt; 40, "Old-Age"
)</f>
        <v>Old-Age</v>
      </c>
      <c r="H759" s="3" t="s">
        <v>14</v>
      </c>
      <c r="I759" s="3">
        <v>4</v>
      </c>
      <c r="J759" s="3">
        <v>25</v>
      </c>
      <c r="K759" s="3">
        <v>100</v>
      </c>
      <c r="L759" s="3">
        <f t="shared" si="23"/>
        <v>1.0381671596117243</v>
      </c>
    </row>
    <row r="760" spans="1:12" x14ac:dyDescent="0.3">
      <c r="A760" s="3">
        <v>759</v>
      </c>
      <c r="B760" s="4">
        <v>45115</v>
      </c>
      <c r="C760" s="9" t="str">
        <f t="shared" si="22"/>
        <v>July</v>
      </c>
      <c r="D760" s="3" t="s">
        <v>772</v>
      </c>
      <c r="E760" s="3" t="s">
        <v>10</v>
      </c>
      <c r="F760" s="3">
        <v>49</v>
      </c>
      <c r="G760" s="8" t="str" cm="1">
        <f t="array" ref="G760">_xlfn.IFS(
    F760 &lt; 25, "Young",
    F760 &lt;= 40, "Mid-Age",
    F760 &gt; 40, "Old-Age"
)</f>
        <v>Old-Age</v>
      </c>
      <c r="H760" s="3" t="s">
        <v>16</v>
      </c>
      <c r="I760" s="3">
        <v>2</v>
      </c>
      <c r="J760" s="3">
        <v>50</v>
      </c>
      <c r="K760" s="3">
        <v>100</v>
      </c>
      <c r="L760" s="3">
        <f t="shared" si="23"/>
        <v>1.0319632612567198</v>
      </c>
    </row>
    <row r="761" spans="1:12" x14ac:dyDescent="0.3">
      <c r="A761" s="3">
        <v>760</v>
      </c>
      <c r="B761" s="4">
        <v>45012</v>
      </c>
      <c r="C761" s="9" t="str">
        <f t="shared" si="22"/>
        <v>March</v>
      </c>
      <c r="D761" s="3" t="s">
        <v>773</v>
      </c>
      <c r="E761" s="3" t="s">
        <v>10</v>
      </c>
      <c r="F761" s="3">
        <v>27</v>
      </c>
      <c r="G761" s="8" t="str" cm="1">
        <f t="array" ref="G761">_xlfn.IFS(
    F761 &lt; 25, "Young",
    F761 &lt;= 40, "Mid-Age",
    F761 &gt; 40, "Old-Age"
)</f>
        <v>Mid-Age</v>
      </c>
      <c r="H761" s="3" t="s">
        <v>11</v>
      </c>
      <c r="I761" s="3">
        <v>1</v>
      </c>
      <c r="J761" s="3">
        <v>500</v>
      </c>
      <c r="K761" s="3">
        <v>500</v>
      </c>
      <c r="L761" s="3">
        <f t="shared" si="23"/>
        <v>1.0255708716151697</v>
      </c>
    </row>
    <row r="762" spans="1:12" x14ac:dyDescent="0.3">
      <c r="A762" s="3">
        <v>761</v>
      </c>
      <c r="B762" s="4">
        <v>45237</v>
      </c>
      <c r="C762" s="9" t="str">
        <f t="shared" si="22"/>
        <v>November</v>
      </c>
      <c r="D762" s="3" t="s">
        <v>774</v>
      </c>
      <c r="E762" s="3" t="s">
        <v>13</v>
      </c>
      <c r="F762" s="3">
        <v>33</v>
      </c>
      <c r="G762" s="8" t="str" cm="1">
        <f t="array" ref="G762">_xlfn.IFS(
    F762 &lt; 25, "Young",
    F762 &lt;= 40, "Mid-Age",
    F762 &gt; 40, "Old-Age"
)</f>
        <v>Mid-Age</v>
      </c>
      <c r="H762" s="3" t="s">
        <v>14</v>
      </c>
      <c r="I762" s="3">
        <v>1</v>
      </c>
      <c r="J762" s="3">
        <v>500</v>
      </c>
      <c r="K762" s="3">
        <v>500</v>
      </c>
      <c r="L762" s="3">
        <f t="shared" si="23"/>
        <v>1.0415421087262424</v>
      </c>
    </row>
    <row r="763" spans="1:12" x14ac:dyDescent="0.3">
      <c r="A763" s="3">
        <v>762</v>
      </c>
      <c r="B763" s="4">
        <v>45237</v>
      </c>
      <c r="C763" s="9" t="str">
        <f t="shared" si="22"/>
        <v>November</v>
      </c>
      <c r="D763" s="3" t="s">
        <v>775</v>
      </c>
      <c r="E763" s="3" t="s">
        <v>13</v>
      </c>
      <c r="F763" s="3">
        <v>24</v>
      </c>
      <c r="G763" s="8" t="str" cm="1">
        <f t="array" ref="G763">_xlfn.IFS(
    F763 &lt; 25, "Young",
    F763 &lt;= 40, "Mid-Age",
    F763 &gt; 40, "Old-Age"
)</f>
        <v>Young</v>
      </c>
      <c r="H763" s="3" t="s">
        <v>16</v>
      </c>
      <c r="I763" s="3">
        <v>2</v>
      </c>
      <c r="J763" s="3">
        <v>25</v>
      </c>
      <c r="K763" s="3">
        <v>50</v>
      </c>
      <c r="L763" s="3">
        <f t="shared" si="23"/>
        <v>1.057738954937242</v>
      </c>
    </row>
    <row r="764" spans="1:12" x14ac:dyDescent="0.3">
      <c r="A764" s="3">
        <v>763</v>
      </c>
      <c r="B764" s="4">
        <v>44985</v>
      </c>
      <c r="C764" s="9" t="str">
        <f t="shared" si="22"/>
        <v>February</v>
      </c>
      <c r="D764" s="3" t="s">
        <v>776</v>
      </c>
      <c r="E764" s="3" t="s">
        <v>10</v>
      </c>
      <c r="F764" s="3">
        <v>34</v>
      </c>
      <c r="G764" s="8" t="str" cm="1">
        <f t="array" ref="G764">_xlfn.IFS(
    F764 &lt; 25, "Young",
    F764 &lt;= 40, "Mid-Age",
    F764 &gt; 40, "Old-Age"
)</f>
        <v>Mid-Age</v>
      </c>
      <c r="H764" s="3" t="s">
        <v>14</v>
      </c>
      <c r="I764" s="3">
        <v>2</v>
      </c>
      <c r="J764" s="3">
        <v>25</v>
      </c>
      <c r="K764" s="3">
        <v>50</v>
      </c>
      <c r="L764" s="3">
        <f t="shared" si="23"/>
        <v>1.0514396877824481</v>
      </c>
    </row>
    <row r="765" spans="1:12" x14ac:dyDescent="0.3">
      <c r="A765" s="3">
        <v>764</v>
      </c>
      <c r="B765" s="4">
        <v>45010</v>
      </c>
      <c r="C765" s="9" t="str">
        <f t="shared" si="22"/>
        <v>March</v>
      </c>
      <c r="D765" s="3" t="s">
        <v>777</v>
      </c>
      <c r="E765" s="3" t="s">
        <v>13</v>
      </c>
      <c r="F765" s="3">
        <v>40</v>
      </c>
      <c r="G765" s="8" t="str" cm="1">
        <f t="array" ref="G765">_xlfn.IFS(
    F765 &lt; 25, "Young",
    F765 &lt;= 40, "Mid-Age",
    F765 &gt; 40, "Old-Age"
)</f>
        <v>Mid-Age</v>
      </c>
      <c r="H765" s="3" t="s">
        <v>14</v>
      </c>
      <c r="I765" s="3">
        <v>1</v>
      </c>
      <c r="J765" s="3">
        <v>25</v>
      </c>
      <c r="K765" s="3">
        <v>25</v>
      </c>
      <c r="L765" s="3">
        <f t="shared" si="23"/>
        <v>1.0451140538511319</v>
      </c>
    </row>
    <row r="766" spans="1:12" x14ac:dyDescent="0.3">
      <c r="A766" s="3">
        <v>765</v>
      </c>
      <c r="B766" s="4">
        <v>45086</v>
      </c>
      <c r="C766" s="9" t="str">
        <f t="shared" si="22"/>
        <v>June</v>
      </c>
      <c r="D766" s="3" t="s">
        <v>778</v>
      </c>
      <c r="E766" s="3" t="s">
        <v>10</v>
      </c>
      <c r="F766" s="3">
        <v>43</v>
      </c>
      <c r="G766" s="8" t="str" cm="1">
        <f t="array" ref="G766">_xlfn.IFS(
    F766 &lt; 25, "Young",
    F766 &lt;= 40, "Mid-Age",
    F766 &gt; 40, "Old-Age"
)</f>
        <v>Old-Age</v>
      </c>
      <c r="H766" s="3" t="s">
        <v>14</v>
      </c>
      <c r="I766" s="3">
        <v>4</v>
      </c>
      <c r="J766" s="3">
        <v>50</v>
      </c>
      <c r="K766" s="3">
        <v>200</v>
      </c>
      <c r="L766" s="3">
        <f t="shared" si="23"/>
        <v>1.0387617714378985</v>
      </c>
    </row>
    <row r="767" spans="1:12" x14ac:dyDescent="0.3">
      <c r="A767" s="3">
        <v>766</v>
      </c>
      <c r="B767" s="4">
        <v>44982</v>
      </c>
      <c r="C767" s="9" t="str">
        <f t="shared" si="22"/>
        <v>February</v>
      </c>
      <c r="D767" s="3" t="s">
        <v>779</v>
      </c>
      <c r="E767" s="3" t="s">
        <v>10</v>
      </c>
      <c r="F767" s="3">
        <v>38</v>
      </c>
      <c r="G767" s="8" t="str" cm="1">
        <f t="array" ref="G767">_xlfn.IFS(
    F767 &lt; 25, "Young",
    F767 &lt;= 40, "Mid-Age",
    F767 &gt; 40, "Old-Age"
)</f>
        <v>Mid-Age</v>
      </c>
      <c r="H767" s="3" t="s">
        <v>16</v>
      </c>
      <c r="I767" s="3">
        <v>3</v>
      </c>
      <c r="J767" s="3">
        <v>300</v>
      </c>
      <c r="K767" s="3">
        <v>900</v>
      </c>
      <c r="L767" s="3">
        <f t="shared" si="23"/>
        <v>1.0322070396867309</v>
      </c>
    </row>
    <row r="768" spans="1:12" x14ac:dyDescent="0.3">
      <c r="A768" s="3">
        <v>767</v>
      </c>
      <c r="B768" s="4">
        <v>45223</v>
      </c>
      <c r="C768" s="9" t="str">
        <f t="shared" si="22"/>
        <v>October</v>
      </c>
      <c r="D768" s="3" t="s">
        <v>780</v>
      </c>
      <c r="E768" s="3" t="s">
        <v>10</v>
      </c>
      <c r="F768" s="3">
        <v>39</v>
      </c>
      <c r="G768" s="8" t="str" cm="1">
        <f t="array" ref="G768">_xlfn.IFS(
    F768 &lt; 25, "Young",
    F768 &lt;= 40, "Mid-Age",
    F768 &gt; 40, "Old-Age"
)</f>
        <v>Mid-Age</v>
      </c>
      <c r="H768" s="3" t="s">
        <v>11</v>
      </c>
      <c r="I768" s="3">
        <v>3</v>
      </c>
      <c r="J768" s="3">
        <v>25</v>
      </c>
      <c r="K768" s="3">
        <v>75</v>
      </c>
      <c r="L768" s="3">
        <f t="shared" si="23"/>
        <v>1.0427351449403524</v>
      </c>
    </row>
    <row r="769" spans="1:12" x14ac:dyDescent="0.3">
      <c r="A769" s="3">
        <v>768</v>
      </c>
      <c r="B769" s="4">
        <v>44940</v>
      </c>
      <c r="C769" s="9" t="str">
        <f t="shared" si="22"/>
        <v>January</v>
      </c>
      <c r="D769" s="3" t="s">
        <v>781</v>
      </c>
      <c r="E769" s="3" t="s">
        <v>13</v>
      </c>
      <c r="F769" s="3">
        <v>24</v>
      </c>
      <c r="G769" s="8" t="str" cm="1">
        <f t="array" ref="G769">_xlfn.IFS(
    F769 &lt; 25, "Young",
    F769 &lt;= 40, "Mid-Age",
    F769 &gt; 40, "Old-Age"
)</f>
        <v>Young</v>
      </c>
      <c r="H769" s="3" t="s">
        <v>11</v>
      </c>
      <c r="I769" s="3">
        <v>3</v>
      </c>
      <c r="J769" s="3">
        <v>25</v>
      </c>
      <c r="K769" s="3">
        <v>75</v>
      </c>
      <c r="L769" s="3">
        <f t="shared" si="23"/>
        <v>1.0362972689656216</v>
      </c>
    </row>
    <row r="770" spans="1:12" x14ac:dyDescent="0.3">
      <c r="A770" s="3">
        <v>769</v>
      </c>
      <c r="B770" s="4">
        <v>45086</v>
      </c>
      <c r="C770" s="9" t="str">
        <f t="shared" ref="C770:C833" si="24">TEXT(B770,"mmmm")</f>
        <v>June</v>
      </c>
      <c r="D770" s="3" t="s">
        <v>782</v>
      </c>
      <c r="E770" s="3" t="s">
        <v>13</v>
      </c>
      <c r="F770" s="3">
        <v>31</v>
      </c>
      <c r="G770" s="8" t="str" cm="1">
        <f t="array" ref="G770">_xlfn.IFS(
    F770 &lt; 25, "Young",
    F770 &lt;= 40, "Mid-Age",
    F770 &gt; 40, "Old-Age"
)</f>
        <v>Mid-Age</v>
      </c>
      <c r="H770" s="3" t="s">
        <v>16</v>
      </c>
      <c r="I770" s="3">
        <v>4</v>
      </c>
      <c r="J770" s="3">
        <v>30</v>
      </c>
      <c r="K770" s="3">
        <v>120</v>
      </c>
      <c r="L770" s="3">
        <f t="shared" ref="L770:L833" si="25">SKEW(J770:J1769)</f>
        <v>1.0298316720267053</v>
      </c>
    </row>
    <row r="771" spans="1:12" x14ac:dyDescent="0.3">
      <c r="A771" s="3">
        <v>770</v>
      </c>
      <c r="B771" s="4">
        <v>45221</v>
      </c>
      <c r="C771" s="9" t="str">
        <f t="shared" si="24"/>
        <v>October</v>
      </c>
      <c r="D771" s="3" t="s">
        <v>783</v>
      </c>
      <c r="E771" s="3" t="s">
        <v>10</v>
      </c>
      <c r="F771" s="3">
        <v>32</v>
      </c>
      <c r="G771" s="8" t="str" cm="1">
        <f t="array" ref="G771">_xlfn.IFS(
    F771 &lt; 25, "Young",
    F771 &lt;= 40, "Mid-Age",
    F771 &gt; 40, "Old-Age"
)</f>
        <v>Mid-Age</v>
      </c>
      <c r="H771" s="3" t="s">
        <v>14</v>
      </c>
      <c r="I771" s="3">
        <v>1</v>
      </c>
      <c r="J771" s="3">
        <v>50</v>
      </c>
      <c r="K771" s="3">
        <v>50</v>
      </c>
      <c r="L771" s="3">
        <f t="shared" si="25"/>
        <v>1.0232540133656562</v>
      </c>
    </row>
    <row r="772" spans="1:12" x14ac:dyDescent="0.3">
      <c r="A772" s="3">
        <v>771</v>
      </c>
      <c r="B772" s="4">
        <v>45273</v>
      </c>
      <c r="C772" s="9" t="str">
        <f t="shared" si="24"/>
        <v>December</v>
      </c>
      <c r="D772" s="3" t="s">
        <v>784</v>
      </c>
      <c r="E772" s="3" t="s">
        <v>10</v>
      </c>
      <c r="F772" s="3">
        <v>24</v>
      </c>
      <c r="G772" s="8" t="str" cm="1">
        <f t="array" ref="G772">_xlfn.IFS(
    F772 &lt; 25, "Young",
    F772 &lt;= 40, "Mid-Age",
    F772 &gt; 40, "Old-Age"
)</f>
        <v>Young</v>
      </c>
      <c r="H772" s="3" t="s">
        <v>16</v>
      </c>
      <c r="I772" s="3">
        <v>2</v>
      </c>
      <c r="J772" s="3">
        <v>25</v>
      </c>
      <c r="K772" s="3">
        <v>50</v>
      </c>
      <c r="L772" s="3">
        <f t="shared" si="25"/>
        <v>1.0165513502793582</v>
      </c>
    </row>
    <row r="773" spans="1:12" x14ac:dyDescent="0.3">
      <c r="A773" s="3">
        <v>772</v>
      </c>
      <c r="B773" s="4">
        <v>45119</v>
      </c>
      <c r="C773" s="9" t="str">
        <f t="shared" si="24"/>
        <v>July</v>
      </c>
      <c r="D773" s="3" t="s">
        <v>785</v>
      </c>
      <c r="E773" s="3" t="s">
        <v>10</v>
      </c>
      <c r="F773" s="3">
        <v>26</v>
      </c>
      <c r="G773" s="8" t="str" cm="1">
        <f t="array" ref="G773">_xlfn.IFS(
    F773 &lt; 25, "Young",
    F773 &lt;= 40, "Mid-Age",
    F773 &gt; 40, "Old-Age"
)</f>
        <v>Mid-Age</v>
      </c>
      <c r="H773" s="3" t="s">
        <v>16</v>
      </c>
      <c r="I773" s="3">
        <v>1</v>
      </c>
      <c r="J773" s="3">
        <v>30</v>
      </c>
      <c r="K773" s="3">
        <v>30</v>
      </c>
      <c r="L773" s="3">
        <f t="shared" si="25"/>
        <v>1.0099966123450586</v>
      </c>
    </row>
    <row r="774" spans="1:12" x14ac:dyDescent="0.3">
      <c r="A774" s="3">
        <v>773</v>
      </c>
      <c r="B774" s="4">
        <v>45130</v>
      </c>
      <c r="C774" s="9" t="str">
        <f t="shared" si="24"/>
        <v>July</v>
      </c>
      <c r="D774" s="3" t="s">
        <v>786</v>
      </c>
      <c r="E774" s="3" t="s">
        <v>10</v>
      </c>
      <c r="F774" s="3">
        <v>25</v>
      </c>
      <c r="G774" s="8" t="str" cm="1">
        <f t="array" ref="G774">_xlfn.IFS(
    F774 &lt; 25, "Young",
    F774 &lt;= 40, "Mid-Age",
    F774 &gt; 40, "Old-Age"
)</f>
        <v>Mid-Age</v>
      </c>
      <c r="H774" s="3" t="s">
        <v>16</v>
      </c>
      <c r="I774" s="3">
        <v>4</v>
      </c>
      <c r="J774" s="3">
        <v>500</v>
      </c>
      <c r="K774" s="3">
        <v>2000</v>
      </c>
      <c r="L774" s="3">
        <f t="shared" si="25"/>
        <v>1.0033276108219193</v>
      </c>
    </row>
    <row r="775" spans="1:12" x14ac:dyDescent="0.3">
      <c r="A775" s="3">
        <v>774</v>
      </c>
      <c r="B775" s="4">
        <v>45028</v>
      </c>
      <c r="C775" s="9" t="str">
        <f t="shared" si="24"/>
        <v>April</v>
      </c>
      <c r="D775" s="3" t="s">
        <v>787</v>
      </c>
      <c r="E775" s="3" t="s">
        <v>13</v>
      </c>
      <c r="F775" s="3">
        <v>40</v>
      </c>
      <c r="G775" s="8" t="str" cm="1">
        <f t="array" ref="G775">_xlfn.IFS(
    F775 &lt; 25, "Young",
    F775 &lt;= 40, "Mid-Age",
    F775 &gt; 40, "Old-Age"
)</f>
        <v>Mid-Age</v>
      </c>
      <c r="H775" s="3" t="s">
        <v>14</v>
      </c>
      <c r="I775" s="3">
        <v>2</v>
      </c>
      <c r="J775" s="3">
        <v>25</v>
      </c>
      <c r="K775" s="3">
        <v>50</v>
      </c>
      <c r="L775" s="3">
        <f t="shared" si="25"/>
        <v>1.019817885011479</v>
      </c>
    </row>
    <row r="776" spans="1:12" x14ac:dyDescent="0.3">
      <c r="A776" s="3">
        <v>775</v>
      </c>
      <c r="B776" s="4">
        <v>44965</v>
      </c>
      <c r="C776" s="9" t="str">
        <f t="shared" si="24"/>
        <v>February</v>
      </c>
      <c r="D776" s="3" t="s">
        <v>788</v>
      </c>
      <c r="E776" s="3" t="s">
        <v>13</v>
      </c>
      <c r="F776" s="3">
        <v>46</v>
      </c>
      <c r="G776" s="8" t="str" cm="1">
        <f t="array" ref="G776">_xlfn.IFS(
    F776 &lt; 25, "Young",
    F776 &lt;= 40, "Mid-Age",
    F776 &gt; 40, "Old-Age"
)</f>
        <v>Old-Age</v>
      </c>
      <c r="H776" s="3" t="s">
        <v>16</v>
      </c>
      <c r="I776" s="3">
        <v>4</v>
      </c>
      <c r="J776" s="3">
        <v>25</v>
      </c>
      <c r="K776" s="3">
        <v>100</v>
      </c>
      <c r="L776" s="3">
        <f t="shared" si="25"/>
        <v>1.0131824264951639</v>
      </c>
    </row>
    <row r="777" spans="1:12" x14ac:dyDescent="0.3">
      <c r="A777" s="3">
        <v>776</v>
      </c>
      <c r="B777" s="4">
        <v>45230</v>
      </c>
      <c r="C777" s="9" t="str">
        <f t="shared" si="24"/>
        <v>October</v>
      </c>
      <c r="D777" s="3" t="s">
        <v>789</v>
      </c>
      <c r="E777" s="3" t="s">
        <v>10</v>
      </c>
      <c r="F777" s="3">
        <v>35</v>
      </c>
      <c r="G777" s="8" t="str" cm="1">
        <f t="array" ref="G777">_xlfn.IFS(
    F777 &lt; 25, "Young",
    F777 &lt;= 40, "Mid-Age",
    F777 &gt; 40, "Old-Age"
)</f>
        <v>Mid-Age</v>
      </c>
      <c r="H777" s="3" t="s">
        <v>14</v>
      </c>
      <c r="I777" s="3">
        <v>3</v>
      </c>
      <c r="J777" s="3">
        <v>30</v>
      </c>
      <c r="K777" s="3">
        <v>90</v>
      </c>
      <c r="L777" s="3">
        <f t="shared" si="25"/>
        <v>1.0065172849611606</v>
      </c>
    </row>
    <row r="778" spans="1:12" x14ac:dyDescent="0.3">
      <c r="A778" s="3">
        <v>777</v>
      </c>
      <c r="B778" s="4">
        <v>45280</v>
      </c>
      <c r="C778" s="9" t="str">
        <f t="shared" si="24"/>
        <v>December</v>
      </c>
      <c r="D778" s="3" t="s">
        <v>790</v>
      </c>
      <c r="E778" s="3" t="s">
        <v>10</v>
      </c>
      <c r="F778" s="3">
        <v>48</v>
      </c>
      <c r="G778" s="8" t="str" cm="1">
        <f t="array" ref="G778">_xlfn.IFS(
    F778 &lt; 25, "Young",
    F778 &lt;= 40, "Mid-Age",
    F778 &gt; 40, "Old-Age"
)</f>
        <v>Old-Age</v>
      </c>
      <c r="H778" s="3" t="s">
        <v>16</v>
      </c>
      <c r="I778" s="3">
        <v>3</v>
      </c>
      <c r="J778" s="3">
        <v>50</v>
      </c>
      <c r="K778" s="3">
        <v>150</v>
      </c>
      <c r="L778" s="3">
        <f t="shared" si="25"/>
        <v>0.99973326222783088</v>
      </c>
    </row>
    <row r="779" spans="1:12" x14ac:dyDescent="0.3">
      <c r="A779" s="3">
        <v>778</v>
      </c>
      <c r="B779" s="4">
        <v>45248</v>
      </c>
      <c r="C779" s="9" t="str">
        <f t="shared" si="24"/>
        <v>November</v>
      </c>
      <c r="D779" s="3" t="s">
        <v>791</v>
      </c>
      <c r="E779" s="3" t="s">
        <v>13</v>
      </c>
      <c r="F779" s="3">
        <v>47</v>
      </c>
      <c r="G779" s="8" t="str" cm="1">
        <f t="array" ref="G779">_xlfn.IFS(
    F779 &lt; 25, "Young",
    F779 &lt;= 40, "Mid-Age",
    F779 &gt; 40, "Old-Age"
)</f>
        <v>Old-Age</v>
      </c>
      <c r="H779" s="3" t="s">
        <v>11</v>
      </c>
      <c r="I779" s="3">
        <v>4</v>
      </c>
      <c r="J779" s="3">
        <v>25</v>
      </c>
      <c r="K779" s="3">
        <v>100</v>
      </c>
      <c r="L779" s="3">
        <f t="shared" si="25"/>
        <v>0.99280936131185049</v>
      </c>
    </row>
    <row r="780" spans="1:12" x14ac:dyDescent="0.3">
      <c r="A780" s="3">
        <v>779</v>
      </c>
      <c r="B780" s="4">
        <v>45051</v>
      </c>
      <c r="C780" s="9" t="str">
        <f t="shared" si="24"/>
        <v>May</v>
      </c>
      <c r="D780" s="3" t="s">
        <v>792</v>
      </c>
      <c r="E780" s="3" t="s">
        <v>13</v>
      </c>
      <c r="F780" s="3">
        <v>56</v>
      </c>
      <c r="G780" s="8" t="str" cm="1">
        <f t="array" ref="G780">_xlfn.IFS(
    F780 &lt; 25, "Young",
    F780 &lt;= 40, "Mid-Age",
    F780 &gt; 40, "Old-Age"
)</f>
        <v>Old-Age</v>
      </c>
      <c r="H780" s="3" t="s">
        <v>16</v>
      </c>
      <c r="I780" s="3">
        <v>2</v>
      </c>
      <c r="J780" s="3">
        <v>500</v>
      </c>
      <c r="K780" s="3">
        <v>1000</v>
      </c>
      <c r="L780" s="3">
        <f t="shared" si="25"/>
        <v>0.98604855998822138</v>
      </c>
    </row>
    <row r="781" spans="1:12" x14ac:dyDescent="0.3">
      <c r="A781" s="3">
        <v>780</v>
      </c>
      <c r="B781" s="4">
        <v>44979</v>
      </c>
      <c r="C781" s="9" t="str">
        <f t="shared" si="24"/>
        <v>February</v>
      </c>
      <c r="D781" s="3" t="s">
        <v>793</v>
      </c>
      <c r="E781" s="3" t="s">
        <v>10</v>
      </c>
      <c r="F781" s="3">
        <v>52</v>
      </c>
      <c r="G781" s="8" t="str" cm="1">
        <f t="array" ref="G781">_xlfn.IFS(
    F781 &lt; 25, "Young",
    F781 &lt;= 40, "Mid-Age",
    F781 &gt; 40, "Old-Age"
)</f>
        <v>Old-Age</v>
      </c>
      <c r="H781" s="3" t="s">
        <v>16</v>
      </c>
      <c r="I781" s="3">
        <v>2</v>
      </c>
      <c r="J781" s="3">
        <v>25</v>
      </c>
      <c r="K781" s="3">
        <v>50</v>
      </c>
      <c r="L781" s="3">
        <f t="shared" si="25"/>
        <v>1.002659516734568</v>
      </c>
    </row>
    <row r="782" spans="1:12" x14ac:dyDescent="0.3">
      <c r="A782" s="3">
        <v>781</v>
      </c>
      <c r="B782" s="4">
        <v>45283</v>
      </c>
      <c r="C782" s="9" t="str">
        <f t="shared" si="24"/>
        <v>December</v>
      </c>
      <c r="D782" s="3" t="s">
        <v>794</v>
      </c>
      <c r="E782" s="3" t="s">
        <v>10</v>
      </c>
      <c r="F782" s="3">
        <v>35</v>
      </c>
      <c r="G782" s="8" t="str" cm="1">
        <f t="array" ref="G782">_xlfn.IFS(
    F782 &lt; 25, "Young",
    F782 &lt;= 40, "Mid-Age",
    F782 &gt; 40, "Old-Age"
)</f>
        <v>Mid-Age</v>
      </c>
      <c r="H782" s="3" t="s">
        <v>11</v>
      </c>
      <c r="I782" s="3">
        <v>1</v>
      </c>
      <c r="J782" s="3">
        <v>500</v>
      </c>
      <c r="K782" s="3">
        <v>500</v>
      </c>
      <c r="L782" s="3">
        <f t="shared" si="25"/>
        <v>0.99584542702354795</v>
      </c>
    </row>
    <row r="783" spans="1:12" x14ac:dyDescent="0.3">
      <c r="A783" s="3">
        <v>782</v>
      </c>
      <c r="B783" s="4">
        <v>45081</v>
      </c>
      <c r="C783" s="9" t="str">
        <f t="shared" si="24"/>
        <v>June</v>
      </c>
      <c r="D783" s="3" t="s">
        <v>795</v>
      </c>
      <c r="E783" s="3" t="s">
        <v>10</v>
      </c>
      <c r="F783" s="3">
        <v>59</v>
      </c>
      <c r="G783" s="8" t="str" cm="1">
        <f t="array" ref="G783">_xlfn.IFS(
    F783 &lt; 25, "Young",
    F783 &lt;= 40, "Mid-Age",
    F783 &gt; 40, "Old-Age"
)</f>
        <v>Old-Age</v>
      </c>
      <c r="H783" s="3" t="s">
        <v>14</v>
      </c>
      <c r="I783" s="3">
        <v>3</v>
      </c>
      <c r="J783" s="3">
        <v>300</v>
      </c>
      <c r="K783" s="3">
        <v>900</v>
      </c>
      <c r="L783" s="3">
        <f t="shared" si="25"/>
        <v>1.0126676694787311</v>
      </c>
    </row>
    <row r="784" spans="1:12" x14ac:dyDescent="0.3">
      <c r="A784" s="3">
        <v>783</v>
      </c>
      <c r="B784" s="4">
        <v>45277</v>
      </c>
      <c r="C784" s="9" t="str">
        <f t="shared" si="24"/>
        <v>December</v>
      </c>
      <c r="D784" s="3" t="s">
        <v>796</v>
      </c>
      <c r="E784" s="3" t="s">
        <v>13</v>
      </c>
      <c r="F784" s="3">
        <v>56</v>
      </c>
      <c r="G784" s="8" t="str" cm="1">
        <f t="array" ref="G784">_xlfn.IFS(
    F784 &lt; 25, "Young",
    F784 &lt;= 40, "Mid-Age",
    F784 &gt; 40, "Old-Age"
)</f>
        <v>Old-Age</v>
      </c>
      <c r="H784" s="3" t="s">
        <v>14</v>
      </c>
      <c r="I784" s="3">
        <v>1</v>
      </c>
      <c r="J784" s="3">
        <v>300</v>
      </c>
      <c r="K784" s="3">
        <v>300</v>
      </c>
      <c r="L784" s="3">
        <f t="shared" si="25"/>
        <v>1.023863137173719</v>
      </c>
    </row>
    <row r="785" spans="1:12" x14ac:dyDescent="0.3">
      <c r="A785" s="3">
        <v>784</v>
      </c>
      <c r="B785" s="4">
        <v>45234</v>
      </c>
      <c r="C785" s="9" t="str">
        <f t="shared" si="24"/>
        <v>November</v>
      </c>
      <c r="D785" s="3" t="s">
        <v>797</v>
      </c>
      <c r="E785" s="3" t="s">
        <v>13</v>
      </c>
      <c r="F785" s="3">
        <v>34</v>
      </c>
      <c r="G785" s="8" t="str" cm="1">
        <f t="array" ref="G785">_xlfn.IFS(
    F785 &lt; 25, "Young",
    F785 &lt;= 40, "Mid-Age",
    F785 &gt; 40, "Old-Age"
)</f>
        <v>Mid-Age</v>
      </c>
      <c r="H785" s="3" t="s">
        <v>16</v>
      </c>
      <c r="I785" s="3">
        <v>1</v>
      </c>
      <c r="J785" s="3">
        <v>500</v>
      </c>
      <c r="K785" s="3">
        <v>500</v>
      </c>
      <c r="L785" s="3">
        <f t="shared" si="25"/>
        <v>1.0351882381810282</v>
      </c>
    </row>
    <row r="786" spans="1:12" x14ac:dyDescent="0.3">
      <c r="A786" s="3">
        <v>785</v>
      </c>
      <c r="B786" s="4">
        <v>44988</v>
      </c>
      <c r="C786" s="9" t="str">
        <f t="shared" si="24"/>
        <v>March</v>
      </c>
      <c r="D786" s="3" t="s">
        <v>798</v>
      </c>
      <c r="E786" s="3" t="s">
        <v>13</v>
      </c>
      <c r="F786" s="3">
        <v>31</v>
      </c>
      <c r="G786" s="8" t="str" cm="1">
        <f t="array" ref="G786">_xlfn.IFS(
    F786 &lt; 25, "Young",
    F786 &lt;= 40, "Mid-Age",
    F786 &gt; 40, "Old-Age"
)</f>
        <v>Mid-Age</v>
      </c>
      <c r="H786" s="3" t="s">
        <v>11</v>
      </c>
      <c r="I786" s="3">
        <v>4</v>
      </c>
      <c r="J786" s="3">
        <v>50</v>
      </c>
      <c r="K786" s="3">
        <v>200</v>
      </c>
      <c r="L786" s="3">
        <f t="shared" si="25"/>
        <v>1.0529028267697245</v>
      </c>
    </row>
    <row r="787" spans="1:12" x14ac:dyDescent="0.3">
      <c r="A787" s="3">
        <v>786</v>
      </c>
      <c r="B787" s="4">
        <v>45216</v>
      </c>
      <c r="C787" s="9" t="str">
        <f t="shared" si="24"/>
        <v>October</v>
      </c>
      <c r="D787" s="3" t="s">
        <v>799</v>
      </c>
      <c r="E787" s="3" t="s">
        <v>10</v>
      </c>
      <c r="F787" s="3">
        <v>48</v>
      </c>
      <c r="G787" s="8" t="str" cm="1">
        <f t="array" ref="G787">_xlfn.IFS(
    F787 &lt; 25, "Young",
    F787 &lt;= 40, "Mid-Age",
    F787 &gt; 40, "Old-Age"
)</f>
        <v>Old-Age</v>
      </c>
      <c r="H787" s="3" t="s">
        <v>14</v>
      </c>
      <c r="I787" s="3">
        <v>4</v>
      </c>
      <c r="J787" s="3">
        <v>25</v>
      </c>
      <c r="K787" s="3">
        <v>100</v>
      </c>
      <c r="L787" s="3">
        <f t="shared" si="25"/>
        <v>1.0457408295360708</v>
      </c>
    </row>
    <row r="788" spans="1:12" x14ac:dyDescent="0.3">
      <c r="A788" s="3">
        <v>787</v>
      </c>
      <c r="B788" s="4">
        <v>44948</v>
      </c>
      <c r="C788" s="9" t="str">
        <f t="shared" si="24"/>
        <v>January</v>
      </c>
      <c r="D788" s="3" t="s">
        <v>800</v>
      </c>
      <c r="E788" s="3" t="s">
        <v>10</v>
      </c>
      <c r="F788" s="3">
        <v>41</v>
      </c>
      <c r="G788" s="8" t="str" cm="1">
        <f t="array" ref="G788">_xlfn.IFS(
    F788 &lt; 25, "Young",
    F788 &lt;= 40, "Mid-Age",
    F788 &gt; 40, "Old-Age"
)</f>
        <v>Old-Age</v>
      </c>
      <c r="H788" s="3" t="s">
        <v>16</v>
      </c>
      <c r="I788" s="3">
        <v>1</v>
      </c>
      <c r="J788" s="3">
        <v>25</v>
      </c>
      <c r="K788" s="3">
        <v>25</v>
      </c>
      <c r="L788" s="3">
        <f t="shared" si="25"/>
        <v>1.0387468730873695</v>
      </c>
    </row>
    <row r="789" spans="1:12" x14ac:dyDescent="0.3">
      <c r="A789" s="3">
        <v>788</v>
      </c>
      <c r="B789" s="4">
        <v>45104</v>
      </c>
      <c r="C789" s="9" t="str">
        <f t="shared" si="24"/>
        <v>June</v>
      </c>
      <c r="D789" s="3" t="s">
        <v>801</v>
      </c>
      <c r="E789" s="3" t="s">
        <v>13</v>
      </c>
      <c r="F789" s="3">
        <v>52</v>
      </c>
      <c r="G789" s="8" t="str" cm="1">
        <f t="array" ref="G789">_xlfn.IFS(
    F789 &lt; 25, "Young",
    F789 &lt;= 40, "Mid-Age",
    F789 &gt; 40, "Old-Age"
)</f>
        <v>Old-Age</v>
      </c>
      <c r="H789" s="3" t="s">
        <v>11</v>
      </c>
      <c r="I789" s="3">
        <v>3</v>
      </c>
      <c r="J789" s="3">
        <v>300</v>
      </c>
      <c r="K789" s="3">
        <v>900</v>
      </c>
      <c r="L789" s="3">
        <f t="shared" si="25"/>
        <v>1.0317203082625095</v>
      </c>
    </row>
    <row r="790" spans="1:12" x14ac:dyDescent="0.3">
      <c r="A790" s="3">
        <v>789</v>
      </c>
      <c r="B790" s="4">
        <v>45199</v>
      </c>
      <c r="C790" s="9" t="str">
        <f t="shared" si="24"/>
        <v>September</v>
      </c>
      <c r="D790" s="3" t="s">
        <v>802</v>
      </c>
      <c r="E790" s="3" t="s">
        <v>13</v>
      </c>
      <c r="F790" s="3">
        <v>61</v>
      </c>
      <c r="G790" s="8" t="str" cm="1">
        <f t="array" ref="G790">_xlfn.IFS(
    F790 &lt; 25, "Young",
    F790 &lt;= 40, "Mid-Age",
    F790 &gt; 40, "Old-Age"
)</f>
        <v>Old-Age</v>
      </c>
      <c r="H790" s="3" t="s">
        <v>14</v>
      </c>
      <c r="I790" s="3">
        <v>4</v>
      </c>
      <c r="J790" s="3">
        <v>500</v>
      </c>
      <c r="K790" s="3">
        <v>2000</v>
      </c>
      <c r="L790" s="3">
        <f t="shared" si="25"/>
        <v>1.0434199564458613</v>
      </c>
    </row>
    <row r="791" spans="1:12" x14ac:dyDescent="0.3">
      <c r="A791" s="3">
        <v>790</v>
      </c>
      <c r="B791" s="4">
        <v>45146</v>
      </c>
      <c r="C791" s="9" t="str">
        <f t="shared" si="24"/>
        <v>August</v>
      </c>
      <c r="D791" s="3" t="s">
        <v>803</v>
      </c>
      <c r="E791" s="3" t="s">
        <v>10</v>
      </c>
      <c r="F791" s="3">
        <v>62</v>
      </c>
      <c r="G791" s="8" t="str" cm="1">
        <f t="array" ref="G791">_xlfn.IFS(
    F791 &lt; 25, "Young",
    F791 &lt;= 40, "Mid-Age",
    F791 &gt; 40, "Old-Age"
)</f>
        <v>Old-Age</v>
      </c>
      <c r="H791" s="3" t="s">
        <v>14</v>
      </c>
      <c r="I791" s="3">
        <v>1</v>
      </c>
      <c r="J791" s="3">
        <v>25</v>
      </c>
      <c r="K791" s="3">
        <v>25</v>
      </c>
      <c r="L791" s="3">
        <f t="shared" si="25"/>
        <v>1.0616730436007438</v>
      </c>
    </row>
    <row r="792" spans="1:12" x14ac:dyDescent="0.3">
      <c r="A792" s="3">
        <v>791</v>
      </c>
      <c r="B792" s="4">
        <v>45265</v>
      </c>
      <c r="C792" s="9" t="str">
        <f t="shared" si="24"/>
        <v>December</v>
      </c>
      <c r="D792" s="3" t="s">
        <v>804</v>
      </c>
      <c r="E792" s="3" t="s">
        <v>13</v>
      </c>
      <c r="F792" s="3">
        <v>51</v>
      </c>
      <c r="G792" s="8" t="str" cm="1">
        <f t="array" ref="G792">_xlfn.IFS(
    F792 &lt; 25, "Young",
    F792 &lt;= 40, "Mid-Age",
    F792 &gt; 40, "Old-Age"
)</f>
        <v>Old-Age</v>
      </c>
      <c r="H792" s="3" t="s">
        <v>11</v>
      </c>
      <c r="I792" s="3">
        <v>1</v>
      </c>
      <c r="J792" s="3">
        <v>25</v>
      </c>
      <c r="K792" s="3">
        <v>25</v>
      </c>
      <c r="L792" s="3">
        <f t="shared" si="25"/>
        <v>1.0545530477502549</v>
      </c>
    </row>
    <row r="793" spans="1:12" x14ac:dyDescent="0.3">
      <c r="A793" s="3">
        <v>792</v>
      </c>
      <c r="B793" s="4">
        <v>45116</v>
      </c>
      <c r="C793" s="9" t="str">
        <f t="shared" si="24"/>
        <v>July</v>
      </c>
      <c r="D793" s="3" t="s">
        <v>805</v>
      </c>
      <c r="E793" s="3" t="s">
        <v>13</v>
      </c>
      <c r="F793" s="3">
        <v>20</v>
      </c>
      <c r="G793" s="8" t="str" cm="1">
        <f t="array" ref="G793">_xlfn.IFS(
    F793 &lt; 25, "Young",
    F793 &lt;= 40, "Mid-Age",
    F793 &gt; 40, "Old-Age"
)</f>
        <v>Young</v>
      </c>
      <c r="H793" s="3" t="s">
        <v>11</v>
      </c>
      <c r="I793" s="3">
        <v>1</v>
      </c>
      <c r="J793" s="3">
        <v>50</v>
      </c>
      <c r="K793" s="3">
        <v>50</v>
      </c>
      <c r="L793" s="3">
        <f t="shared" si="25"/>
        <v>1.0473994934661814</v>
      </c>
    </row>
    <row r="794" spans="1:12" x14ac:dyDescent="0.3">
      <c r="A794" s="3">
        <v>793</v>
      </c>
      <c r="B794" s="4">
        <v>44962</v>
      </c>
      <c r="C794" s="9" t="str">
        <f t="shared" si="24"/>
        <v>February</v>
      </c>
      <c r="D794" s="3" t="s">
        <v>806</v>
      </c>
      <c r="E794" s="3" t="s">
        <v>10</v>
      </c>
      <c r="F794" s="3">
        <v>54</v>
      </c>
      <c r="G794" s="8" t="str" cm="1">
        <f t="array" ref="G794">_xlfn.IFS(
    F794 &lt; 25, "Young",
    F794 &lt;= 40, "Mid-Age",
    F794 &gt; 40, "Old-Age"
)</f>
        <v>Old-Age</v>
      </c>
      <c r="H794" s="3" t="s">
        <v>11</v>
      </c>
      <c r="I794" s="3">
        <v>1</v>
      </c>
      <c r="J794" s="3">
        <v>30</v>
      </c>
      <c r="K794" s="3">
        <v>30</v>
      </c>
      <c r="L794" s="3">
        <f t="shared" si="25"/>
        <v>1.0399934320444195</v>
      </c>
    </row>
    <row r="795" spans="1:12" x14ac:dyDescent="0.3">
      <c r="A795" s="3">
        <v>794</v>
      </c>
      <c r="B795" s="4">
        <v>45186</v>
      </c>
      <c r="C795" s="9" t="str">
        <f t="shared" si="24"/>
        <v>September</v>
      </c>
      <c r="D795" s="3" t="s">
        <v>807</v>
      </c>
      <c r="E795" s="3" t="s">
        <v>13</v>
      </c>
      <c r="F795" s="3">
        <v>60</v>
      </c>
      <c r="G795" s="8" t="str" cm="1">
        <f t="array" ref="G795">_xlfn.IFS(
    F795 &lt; 25, "Young",
    F795 &lt;= 40, "Mid-Age",
    F795 &gt; 40, "Old-Age"
)</f>
        <v>Old-Age</v>
      </c>
      <c r="H795" s="3" t="s">
        <v>11</v>
      </c>
      <c r="I795" s="3">
        <v>1</v>
      </c>
      <c r="J795" s="3">
        <v>300</v>
      </c>
      <c r="K795" s="3">
        <v>300</v>
      </c>
      <c r="L795" s="3">
        <f t="shared" si="25"/>
        <v>1.0326679749461121</v>
      </c>
    </row>
    <row r="796" spans="1:12" x14ac:dyDescent="0.3">
      <c r="A796" s="3">
        <v>795</v>
      </c>
      <c r="B796" s="4">
        <v>45258</v>
      </c>
      <c r="C796" s="9" t="str">
        <f t="shared" si="24"/>
        <v>November</v>
      </c>
      <c r="D796" s="3" t="s">
        <v>808</v>
      </c>
      <c r="E796" s="3" t="s">
        <v>10</v>
      </c>
      <c r="F796" s="3">
        <v>57</v>
      </c>
      <c r="G796" s="8" t="str" cm="1">
        <f t="array" ref="G796">_xlfn.IFS(
    F796 &lt; 25, "Young",
    F796 &lt;= 40, "Mid-Age",
    F796 &gt; 40, "Old-Age"
)</f>
        <v>Old-Age</v>
      </c>
      <c r="H796" s="3" t="s">
        <v>16</v>
      </c>
      <c r="I796" s="3">
        <v>1</v>
      </c>
      <c r="J796" s="3">
        <v>300</v>
      </c>
      <c r="K796" s="3">
        <v>300</v>
      </c>
      <c r="L796" s="3">
        <f t="shared" si="25"/>
        <v>1.0447316634027213</v>
      </c>
    </row>
    <row r="797" spans="1:12" x14ac:dyDescent="0.3">
      <c r="A797" s="3">
        <v>796</v>
      </c>
      <c r="B797" s="4">
        <v>45101</v>
      </c>
      <c r="C797" s="9" t="str">
        <f t="shared" si="24"/>
        <v>June</v>
      </c>
      <c r="D797" s="3" t="s">
        <v>809</v>
      </c>
      <c r="E797" s="3" t="s">
        <v>10</v>
      </c>
      <c r="F797" s="3">
        <v>43</v>
      </c>
      <c r="G797" s="8" t="str" cm="1">
        <f t="array" ref="G797">_xlfn.IFS(
    F797 &lt; 25, "Young",
    F797 &lt;= 40, "Mid-Age",
    F797 &gt; 40, "Old-Age"
)</f>
        <v>Old-Age</v>
      </c>
      <c r="H797" s="3" t="s">
        <v>11</v>
      </c>
      <c r="I797" s="3">
        <v>4</v>
      </c>
      <c r="J797" s="3">
        <v>30</v>
      </c>
      <c r="K797" s="3">
        <v>120</v>
      </c>
      <c r="L797" s="3">
        <f t="shared" si="25"/>
        <v>1.056945380355754</v>
      </c>
    </row>
    <row r="798" spans="1:12" x14ac:dyDescent="0.3">
      <c r="A798" s="3">
        <v>797</v>
      </c>
      <c r="B798" s="4">
        <v>44933</v>
      </c>
      <c r="C798" s="9" t="str">
        <f t="shared" si="24"/>
        <v>January</v>
      </c>
      <c r="D798" s="3" t="s">
        <v>810</v>
      </c>
      <c r="E798" s="3" t="s">
        <v>10</v>
      </c>
      <c r="F798" s="3">
        <v>40</v>
      </c>
      <c r="G798" s="8" t="str" cm="1">
        <f t="array" ref="G798">_xlfn.IFS(
    F798 &lt; 25, "Young",
    F798 &lt;= 40, "Mid-Age",
    F798 &gt; 40, "Old-Age"
)</f>
        <v>Mid-Age</v>
      </c>
      <c r="H798" s="3" t="s">
        <v>14</v>
      </c>
      <c r="I798" s="3">
        <v>3</v>
      </c>
      <c r="J798" s="3">
        <v>25</v>
      </c>
      <c r="K798" s="3">
        <v>75</v>
      </c>
      <c r="L798" s="3">
        <f t="shared" si="25"/>
        <v>1.049511361337844</v>
      </c>
    </row>
    <row r="799" spans="1:12" x14ac:dyDescent="0.3">
      <c r="A799" s="3">
        <v>798</v>
      </c>
      <c r="B799" s="4">
        <v>45142</v>
      </c>
      <c r="C799" s="9" t="str">
        <f t="shared" si="24"/>
        <v>August</v>
      </c>
      <c r="D799" s="3" t="s">
        <v>811</v>
      </c>
      <c r="E799" s="3" t="s">
        <v>10</v>
      </c>
      <c r="F799" s="3">
        <v>61</v>
      </c>
      <c r="G799" s="8" t="str" cm="1">
        <f t="array" ref="G799">_xlfn.IFS(
    F799 &lt; 25, "Young",
    F799 &lt;= 40, "Mid-Age",
    F799 &gt; 40, "Old-Age"
)</f>
        <v>Old-Age</v>
      </c>
      <c r="H799" s="3" t="s">
        <v>14</v>
      </c>
      <c r="I799" s="3">
        <v>1</v>
      </c>
      <c r="J799" s="3">
        <v>50</v>
      </c>
      <c r="K799" s="3">
        <v>50</v>
      </c>
      <c r="L799" s="3">
        <f t="shared" si="25"/>
        <v>1.0421391135701037</v>
      </c>
    </row>
    <row r="800" spans="1:12" x14ac:dyDescent="0.3">
      <c r="A800" s="3">
        <v>799</v>
      </c>
      <c r="B800" s="4">
        <v>45177</v>
      </c>
      <c r="C800" s="9" t="str">
        <f t="shared" si="24"/>
        <v>September</v>
      </c>
      <c r="D800" s="3" t="s">
        <v>812</v>
      </c>
      <c r="E800" s="3" t="s">
        <v>10</v>
      </c>
      <c r="F800" s="3">
        <v>56</v>
      </c>
      <c r="G800" s="8" t="str" cm="1">
        <f t="array" ref="G800">_xlfn.IFS(
    F800 &lt; 25, "Young",
    F800 &lt;= 40, "Mid-Age",
    F800 &gt; 40, "Old-Age"
)</f>
        <v>Old-Age</v>
      </c>
      <c r="H800" s="3" t="s">
        <v>16</v>
      </c>
      <c r="I800" s="3">
        <v>2</v>
      </c>
      <c r="J800" s="3">
        <v>50</v>
      </c>
      <c r="K800" s="3">
        <v>100</v>
      </c>
      <c r="L800" s="3">
        <f t="shared" si="25"/>
        <v>1.0345116601791851</v>
      </c>
    </row>
    <row r="801" spans="1:12" x14ac:dyDescent="0.3">
      <c r="A801" s="3">
        <v>800</v>
      </c>
      <c r="B801" s="4">
        <v>44981</v>
      </c>
      <c r="C801" s="9" t="str">
        <f t="shared" si="24"/>
        <v>February</v>
      </c>
      <c r="D801" s="3" t="s">
        <v>813</v>
      </c>
      <c r="E801" s="3" t="s">
        <v>10</v>
      </c>
      <c r="F801" s="3">
        <v>32</v>
      </c>
      <c r="G801" s="8" t="str" cm="1">
        <f t="array" ref="G801">_xlfn.IFS(
    F801 &lt; 25, "Young",
    F801 &lt;= 40, "Mid-Age",
    F801 &gt; 40, "Old-Age"
)</f>
        <v>Mid-Age</v>
      </c>
      <c r="H801" s="3" t="s">
        <v>14</v>
      </c>
      <c r="I801" s="3">
        <v>4</v>
      </c>
      <c r="J801" s="3">
        <v>300</v>
      </c>
      <c r="K801" s="3">
        <v>1200</v>
      </c>
      <c r="L801" s="3">
        <f t="shared" si="25"/>
        <v>1.0268438045195101</v>
      </c>
    </row>
    <row r="802" spans="1:12" x14ac:dyDescent="0.3">
      <c r="A802" s="3">
        <v>801</v>
      </c>
      <c r="B802" s="4">
        <v>45148</v>
      </c>
      <c r="C802" s="9" t="str">
        <f t="shared" si="24"/>
        <v>August</v>
      </c>
      <c r="D802" s="3" t="s">
        <v>814</v>
      </c>
      <c r="E802" s="3" t="s">
        <v>10</v>
      </c>
      <c r="F802" s="3">
        <v>21</v>
      </c>
      <c r="G802" s="8" t="str" cm="1">
        <f t="array" ref="G802">_xlfn.IFS(
    F802 &lt; 25, "Young",
    F802 &lt;= 40, "Mid-Age",
    F802 &gt; 40, "Old-Age"
)</f>
        <v>Young</v>
      </c>
      <c r="H802" s="3" t="s">
        <v>14</v>
      </c>
      <c r="I802" s="3">
        <v>4</v>
      </c>
      <c r="J802" s="3">
        <v>50</v>
      </c>
      <c r="K802" s="3">
        <v>200</v>
      </c>
      <c r="L802" s="3">
        <f t="shared" si="25"/>
        <v>1.0390700550505827</v>
      </c>
    </row>
    <row r="803" spans="1:12" x14ac:dyDescent="0.3">
      <c r="A803" s="3">
        <v>802</v>
      </c>
      <c r="B803" s="4">
        <v>45112</v>
      </c>
      <c r="C803" s="9" t="str">
        <f t="shared" si="24"/>
        <v>July</v>
      </c>
      <c r="D803" s="3" t="s">
        <v>815</v>
      </c>
      <c r="E803" s="3" t="s">
        <v>13</v>
      </c>
      <c r="F803" s="3">
        <v>46</v>
      </c>
      <c r="G803" s="8" t="str" cm="1">
        <f t="array" ref="G803">_xlfn.IFS(
    F803 &lt; 25, "Young",
    F803 &lt;= 40, "Mid-Age",
    F803 &gt; 40, "Old-Age"
)</f>
        <v>Old-Age</v>
      </c>
      <c r="H803" s="3" t="s">
        <v>11</v>
      </c>
      <c r="I803" s="3">
        <v>1</v>
      </c>
      <c r="J803" s="3">
        <v>30</v>
      </c>
      <c r="K803" s="3">
        <v>30</v>
      </c>
      <c r="L803" s="3">
        <f t="shared" si="25"/>
        <v>1.0313279362194232</v>
      </c>
    </row>
    <row r="804" spans="1:12" x14ac:dyDescent="0.3">
      <c r="A804" s="3">
        <v>803</v>
      </c>
      <c r="B804" s="4">
        <v>45252</v>
      </c>
      <c r="C804" s="9" t="str">
        <f t="shared" si="24"/>
        <v>November</v>
      </c>
      <c r="D804" s="3" t="s">
        <v>816</v>
      </c>
      <c r="E804" s="3" t="s">
        <v>10</v>
      </c>
      <c r="F804" s="3">
        <v>39</v>
      </c>
      <c r="G804" s="8" t="str" cm="1">
        <f t="array" ref="G804">_xlfn.IFS(
    F804 &lt; 25, "Young",
    F804 &lt;= 40, "Mid-Age",
    F804 &gt; 40, "Old-Age"
)</f>
        <v>Mid-Age</v>
      </c>
      <c r="H804" s="3" t="s">
        <v>14</v>
      </c>
      <c r="I804" s="3">
        <v>4</v>
      </c>
      <c r="J804" s="3">
        <v>25</v>
      </c>
      <c r="K804" s="3">
        <v>100</v>
      </c>
      <c r="L804" s="3">
        <f t="shared" si="25"/>
        <v>1.0236564435229776</v>
      </c>
    </row>
    <row r="805" spans="1:12" x14ac:dyDescent="0.3">
      <c r="A805" s="3">
        <v>804</v>
      </c>
      <c r="B805" s="4">
        <v>45162</v>
      </c>
      <c r="C805" s="9" t="str">
        <f t="shared" si="24"/>
        <v>August</v>
      </c>
      <c r="D805" s="3" t="s">
        <v>817</v>
      </c>
      <c r="E805" s="3" t="s">
        <v>10</v>
      </c>
      <c r="F805" s="3">
        <v>42</v>
      </c>
      <c r="G805" s="8" t="str" cm="1">
        <f t="array" ref="G805">_xlfn.IFS(
    F805 &lt; 25, "Young",
    F805 &lt;= 40, "Mid-Age",
    F805 &gt; 40, "Old-Age"
)</f>
        <v>Old-Age</v>
      </c>
      <c r="H805" s="3" t="s">
        <v>16</v>
      </c>
      <c r="I805" s="3">
        <v>1</v>
      </c>
      <c r="J805" s="3">
        <v>30</v>
      </c>
      <c r="K805" s="3">
        <v>30</v>
      </c>
      <c r="L805" s="3">
        <f t="shared" si="25"/>
        <v>1.0160443004151325</v>
      </c>
    </row>
    <row r="806" spans="1:12" x14ac:dyDescent="0.3">
      <c r="A806" s="3">
        <v>805</v>
      </c>
      <c r="B806" s="4">
        <v>45289</v>
      </c>
      <c r="C806" s="9" t="str">
        <f t="shared" si="24"/>
        <v>December</v>
      </c>
      <c r="D806" s="3" t="s">
        <v>818</v>
      </c>
      <c r="E806" s="3" t="s">
        <v>13</v>
      </c>
      <c r="F806" s="3">
        <v>30</v>
      </c>
      <c r="G806" s="8" t="str" cm="1">
        <f t="array" ref="G806">_xlfn.IFS(
    F806 &lt; 25, "Young",
    F806 &lt;= 40, "Mid-Age",
    F806 &gt; 40, "Old-Age"
)</f>
        <v>Mid-Age</v>
      </c>
      <c r="H806" s="3" t="s">
        <v>11</v>
      </c>
      <c r="I806" s="3">
        <v>3</v>
      </c>
      <c r="J806" s="3">
        <v>500</v>
      </c>
      <c r="K806" s="3">
        <v>1500</v>
      </c>
      <c r="L806" s="3">
        <f t="shared" si="25"/>
        <v>1.0082922734460473</v>
      </c>
    </row>
    <row r="807" spans="1:12" x14ac:dyDescent="0.3">
      <c r="A807" s="3">
        <v>806</v>
      </c>
      <c r="B807" s="4">
        <v>45005</v>
      </c>
      <c r="C807" s="9" t="str">
        <f t="shared" si="24"/>
        <v>March</v>
      </c>
      <c r="D807" s="3" t="s">
        <v>819</v>
      </c>
      <c r="E807" s="3" t="s">
        <v>13</v>
      </c>
      <c r="F807" s="3">
        <v>35</v>
      </c>
      <c r="G807" s="8" t="str" cm="1">
        <f t="array" ref="G807">_xlfn.IFS(
    F807 &lt; 25, "Young",
    F807 &lt;= 40, "Mid-Age",
    F807 &gt; 40, "Old-Age"
)</f>
        <v>Mid-Age</v>
      </c>
      <c r="H807" s="3" t="s">
        <v>11</v>
      </c>
      <c r="I807" s="3">
        <v>3</v>
      </c>
      <c r="J807" s="3">
        <v>300</v>
      </c>
      <c r="K807" s="3">
        <v>900</v>
      </c>
      <c r="L807" s="3">
        <f t="shared" si="25"/>
        <v>1.027615331802707</v>
      </c>
    </row>
    <row r="808" spans="1:12" x14ac:dyDescent="0.3">
      <c r="A808" s="3">
        <v>807</v>
      </c>
      <c r="B808" s="4">
        <v>45149</v>
      </c>
      <c r="C808" s="9" t="str">
        <f t="shared" si="24"/>
        <v>August</v>
      </c>
      <c r="D808" s="3" t="s">
        <v>820</v>
      </c>
      <c r="E808" s="3" t="s">
        <v>13</v>
      </c>
      <c r="F808" s="3">
        <v>50</v>
      </c>
      <c r="G808" s="8" t="str" cm="1">
        <f t="array" ref="G808">_xlfn.IFS(
    F808 &lt; 25, "Young",
    F808 &lt;= 40, "Mid-Age",
    F808 &gt; 40, "Old-Age"
)</f>
        <v>Old-Age</v>
      </c>
      <c r="H808" s="3" t="s">
        <v>16</v>
      </c>
      <c r="I808" s="3">
        <v>4</v>
      </c>
      <c r="J808" s="3">
        <v>50</v>
      </c>
      <c r="K808" s="3">
        <v>200</v>
      </c>
      <c r="L808" s="3">
        <f t="shared" si="25"/>
        <v>1.0402407597139016</v>
      </c>
    </row>
    <row r="809" spans="1:12" x14ac:dyDescent="0.3">
      <c r="A809" s="3">
        <v>808</v>
      </c>
      <c r="B809" s="4">
        <v>45017</v>
      </c>
      <c r="C809" s="9" t="str">
        <f t="shared" si="24"/>
        <v>April</v>
      </c>
      <c r="D809" s="3" t="s">
        <v>821</v>
      </c>
      <c r="E809" s="3" t="s">
        <v>10</v>
      </c>
      <c r="F809" s="3">
        <v>33</v>
      </c>
      <c r="G809" s="8" t="str" cm="1">
        <f t="array" ref="G809">_xlfn.IFS(
    F809 &lt; 25, "Young",
    F809 &lt;= 40, "Mid-Age",
    F809 &gt; 40, "Old-Age"
)</f>
        <v>Mid-Age</v>
      </c>
      <c r="H809" s="3" t="s">
        <v>11</v>
      </c>
      <c r="I809" s="3">
        <v>4</v>
      </c>
      <c r="J809" s="3">
        <v>500</v>
      </c>
      <c r="K809" s="3">
        <v>2000</v>
      </c>
      <c r="L809" s="3">
        <f t="shared" si="25"/>
        <v>1.0322579723887393</v>
      </c>
    </row>
    <row r="810" spans="1:12" x14ac:dyDescent="0.3">
      <c r="A810" s="3">
        <v>809</v>
      </c>
      <c r="B810" s="4">
        <v>45194</v>
      </c>
      <c r="C810" s="9" t="str">
        <f t="shared" si="24"/>
        <v>September</v>
      </c>
      <c r="D810" s="3" t="s">
        <v>822</v>
      </c>
      <c r="E810" s="3" t="s">
        <v>13</v>
      </c>
      <c r="F810" s="3">
        <v>62</v>
      </c>
      <c r="G810" s="8" t="str" cm="1">
        <f t="array" ref="G810">_xlfn.IFS(
    F810 &lt; 25, "Young",
    F810 &lt;= 40, "Mid-Age",
    F810 &gt; 40, "Old-Age"
)</f>
        <v>Old-Age</v>
      </c>
      <c r="H810" s="3" t="s">
        <v>11</v>
      </c>
      <c r="I810" s="3">
        <v>2</v>
      </c>
      <c r="J810" s="3">
        <v>50</v>
      </c>
      <c r="K810" s="3">
        <v>100</v>
      </c>
      <c r="L810" s="3">
        <f t="shared" si="25"/>
        <v>1.0522870185802495</v>
      </c>
    </row>
    <row r="811" spans="1:12" x14ac:dyDescent="0.3">
      <c r="A811" s="3">
        <v>810</v>
      </c>
      <c r="B811" s="4">
        <v>45260</v>
      </c>
      <c r="C811" s="9" t="str">
        <f t="shared" si="24"/>
        <v>November</v>
      </c>
      <c r="D811" s="3" t="s">
        <v>823</v>
      </c>
      <c r="E811" s="3" t="s">
        <v>10</v>
      </c>
      <c r="F811" s="3">
        <v>59</v>
      </c>
      <c r="G811" s="8" t="str" cm="1">
        <f t="array" ref="G811">_xlfn.IFS(
    F811 &lt; 25, "Young",
    F811 &lt;= 40, "Mid-Age",
    F811 &gt; 40, "Old-Age"
)</f>
        <v>Old-Age</v>
      </c>
      <c r="H811" s="3" t="s">
        <v>16</v>
      </c>
      <c r="I811" s="3">
        <v>4</v>
      </c>
      <c r="J811" s="3">
        <v>25</v>
      </c>
      <c r="K811" s="3">
        <v>100</v>
      </c>
      <c r="L811" s="3">
        <f t="shared" si="25"/>
        <v>1.0442253117592528</v>
      </c>
    </row>
    <row r="812" spans="1:12" x14ac:dyDescent="0.3">
      <c r="A812" s="3">
        <v>811</v>
      </c>
      <c r="B812" s="4">
        <v>45065</v>
      </c>
      <c r="C812" s="9" t="str">
        <f t="shared" si="24"/>
        <v>May</v>
      </c>
      <c r="D812" s="3" t="s">
        <v>824</v>
      </c>
      <c r="E812" s="3" t="s">
        <v>10</v>
      </c>
      <c r="F812" s="3">
        <v>61</v>
      </c>
      <c r="G812" s="8" t="str" cm="1">
        <f t="array" ref="G812">_xlfn.IFS(
    F812 &lt; 25, "Young",
    F812 &lt;= 40, "Mid-Age",
    F812 &gt; 40, "Old-Age"
)</f>
        <v>Old-Age</v>
      </c>
      <c r="H812" s="3" t="s">
        <v>11</v>
      </c>
      <c r="I812" s="3">
        <v>2</v>
      </c>
      <c r="J812" s="3">
        <v>25</v>
      </c>
      <c r="K812" s="3">
        <v>50</v>
      </c>
      <c r="L812" s="3">
        <f t="shared" si="25"/>
        <v>1.0363410347227215</v>
      </c>
    </row>
    <row r="813" spans="1:12" x14ac:dyDescent="0.3">
      <c r="A813" s="3">
        <v>812</v>
      </c>
      <c r="B813" s="4">
        <v>45242</v>
      </c>
      <c r="C813" s="9" t="str">
        <f t="shared" si="24"/>
        <v>November</v>
      </c>
      <c r="D813" s="3" t="s">
        <v>825</v>
      </c>
      <c r="E813" s="3" t="s">
        <v>10</v>
      </c>
      <c r="F813" s="3">
        <v>19</v>
      </c>
      <c r="G813" s="8" t="str" cm="1">
        <f t="array" ref="G813">_xlfn.IFS(
    F813 &lt; 25, "Young",
    F813 &lt;= 40, "Mid-Age",
    F813 &gt; 40, "Old-Age"
)</f>
        <v>Young</v>
      </c>
      <c r="H813" s="3" t="s">
        <v>16</v>
      </c>
      <c r="I813" s="3">
        <v>3</v>
      </c>
      <c r="J813" s="3">
        <v>25</v>
      </c>
      <c r="K813" s="3">
        <v>75</v>
      </c>
      <c r="L813" s="3">
        <f t="shared" si="25"/>
        <v>1.0284151460727835</v>
      </c>
    </row>
    <row r="814" spans="1:12" x14ac:dyDescent="0.3">
      <c r="A814" s="3">
        <v>813</v>
      </c>
      <c r="B814" s="4">
        <v>45202</v>
      </c>
      <c r="C814" s="9" t="str">
        <f t="shared" si="24"/>
        <v>October</v>
      </c>
      <c r="D814" s="3" t="s">
        <v>826</v>
      </c>
      <c r="E814" s="3" t="s">
        <v>10</v>
      </c>
      <c r="F814" s="3">
        <v>52</v>
      </c>
      <c r="G814" s="8" t="str" cm="1">
        <f t="array" ref="G814">_xlfn.IFS(
    F814 &lt; 25, "Young",
    F814 &lt;= 40, "Mid-Age",
    F814 &gt; 40, "Old-Age"
)</f>
        <v>Old-Age</v>
      </c>
      <c r="H814" s="3" t="s">
        <v>16</v>
      </c>
      <c r="I814" s="3">
        <v>3</v>
      </c>
      <c r="J814" s="3">
        <v>50</v>
      </c>
      <c r="K814" s="3">
        <v>150</v>
      </c>
      <c r="L814" s="3">
        <f t="shared" si="25"/>
        <v>1.0204470874259781</v>
      </c>
    </row>
    <row r="815" spans="1:12" x14ac:dyDescent="0.3">
      <c r="A815" s="3">
        <v>814</v>
      </c>
      <c r="B815" s="4">
        <v>45174</v>
      </c>
      <c r="C815" s="9" t="str">
        <f t="shared" si="24"/>
        <v>September</v>
      </c>
      <c r="D815" s="3" t="s">
        <v>827</v>
      </c>
      <c r="E815" s="3" t="s">
        <v>13</v>
      </c>
      <c r="F815" s="3">
        <v>59</v>
      </c>
      <c r="G815" s="8" t="str" cm="1">
        <f t="array" ref="G815">_xlfn.IFS(
    F815 &lt; 25, "Young",
    F815 &lt;= 40, "Mid-Age",
    F815 &gt; 40, "Old-Age"
)</f>
        <v>Old-Age</v>
      </c>
      <c r="H815" s="3" t="s">
        <v>14</v>
      </c>
      <c r="I815" s="3">
        <v>1</v>
      </c>
      <c r="J815" s="3">
        <v>500</v>
      </c>
      <c r="K815" s="3">
        <v>500</v>
      </c>
      <c r="L815" s="3">
        <f t="shared" si="25"/>
        <v>1.0121985092635377</v>
      </c>
    </row>
    <row r="816" spans="1:12" x14ac:dyDescent="0.3">
      <c r="A816" s="3">
        <v>815</v>
      </c>
      <c r="B816" s="4">
        <v>45165</v>
      </c>
      <c r="C816" s="9" t="str">
        <f t="shared" si="24"/>
        <v>August</v>
      </c>
      <c r="D816" s="3" t="s">
        <v>828</v>
      </c>
      <c r="E816" s="3" t="s">
        <v>13</v>
      </c>
      <c r="F816" s="3">
        <v>51</v>
      </c>
      <c r="G816" s="8" t="str" cm="1">
        <f t="array" ref="G816">_xlfn.IFS(
    F816 &lt; 25, "Young",
    F816 &lt;= 40, "Mid-Age",
    F816 &gt; 40, "Old-Age"
)</f>
        <v>Old-Age</v>
      </c>
      <c r="H816" s="3" t="s">
        <v>14</v>
      </c>
      <c r="I816" s="3">
        <v>3</v>
      </c>
      <c r="J816" s="3">
        <v>25</v>
      </c>
      <c r="K816" s="3">
        <v>75</v>
      </c>
      <c r="L816" s="3">
        <f t="shared" si="25"/>
        <v>1.0324074835835211</v>
      </c>
    </row>
    <row r="817" spans="1:12" x14ac:dyDescent="0.3">
      <c r="A817" s="3">
        <v>816</v>
      </c>
      <c r="B817" s="4">
        <v>45150</v>
      </c>
      <c r="C817" s="9" t="str">
        <f t="shared" si="24"/>
        <v>August</v>
      </c>
      <c r="D817" s="3" t="s">
        <v>829</v>
      </c>
      <c r="E817" s="3" t="s">
        <v>10</v>
      </c>
      <c r="F817" s="3">
        <v>47</v>
      </c>
      <c r="G817" s="8" t="str" cm="1">
        <f t="array" ref="G817">_xlfn.IFS(
    F817 &lt; 25, "Young",
    F817 &lt;= 40, "Mid-Age",
    F817 &gt; 40, "Old-Age"
)</f>
        <v>Old-Age</v>
      </c>
      <c r="H817" s="3" t="s">
        <v>11</v>
      </c>
      <c r="I817" s="3">
        <v>2</v>
      </c>
      <c r="J817" s="3">
        <v>500</v>
      </c>
      <c r="K817" s="3">
        <v>1000</v>
      </c>
      <c r="L817" s="3">
        <f t="shared" si="25"/>
        <v>1.0243158518372921</v>
      </c>
    </row>
    <row r="818" spans="1:12" x14ac:dyDescent="0.3">
      <c r="A818" s="3">
        <v>817</v>
      </c>
      <c r="B818" s="4">
        <v>45230</v>
      </c>
      <c r="C818" s="9" t="str">
        <f t="shared" si="24"/>
        <v>October</v>
      </c>
      <c r="D818" s="3" t="s">
        <v>830</v>
      </c>
      <c r="E818" s="3" t="s">
        <v>10</v>
      </c>
      <c r="F818" s="3">
        <v>30</v>
      </c>
      <c r="G818" s="8" t="str" cm="1">
        <f t="array" ref="G818">_xlfn.IFS(
    F818 &lt; 25, "Young",
    F818 &lt;= 40, "Mid-Age",
    F818 &gt; 40, "Old-Age"
)</f>
        <v>Mid-Age</v>
      </c>
      <c r="H818" s="3" t="s">
        <v>11</v>
      </c>
      <c r="I818" s="3">
        <v>4</v>
      </c>
      <c r="J818" s="3">
        <v>50</v>
      </c>
      <c r="K818" s="3">
        <v>200</v>
      </c>
      <c r="L818" s="3">
        <f t="shared" si="25"/>
        <v>1.0448372165750874</v>
      </c>
    </row>
    <row r="819" spans="1:12" x14ac:dyDescent="0.3">
      <c r="A819" s="3">
        <v>818</v>
      </c>
      <c r="B819" s="4">
        <v>45064</v>
      </c>
      <c r="C819" s="9" t="str">
        <f t="shared" si="24"/>
        <v>May</v>
      </c>
      <c r="D819" s="3" t="s">
        <v>831</v>
      </c>
      <c r="E819" s="3" t="s">
        <v>10</v>
      </c>
      <c r="F819" s="3">
        <v>30</v>
      </c>
      <c r="G819" s="8" t="str" cm="1">
        <f t="array" ref="G819">_xlfn.IFS(
    F819 &lt; 25, "Young",
    F819 &lt;= 40, "Mid-Age",
    F819 &gt; 40, "Old-Age"
)</f>
        <v>Mid-Age</v>
      </c>
      <c r="H819" s="3" t="s">
        <v>16</v>
      </c>
      <c r="I819" s="3">
        <v>1</v>
      </c>
      <c r="J819" s="3">
        <v>500</v>
      </c>
      <c r="K819" s="3">
        <v>500</v>
      </c>
      <c r="L819" s="3">
        <f t="shared" si="25"/>
        <v>1.0364180248630872</v>
      </c>
    </row>
    <row r="820" spans="1:12" x14ac:dyDescent="0.3">
      <c r="A820" s="3">
        <v>819</v>
      </c>
      <c r="B820" s="4">
        <v>45092</v>
      </c>
      <c r="C820" s="9" t="str">
        <f t="shared" si="24"/>
        <v>June</v>
      </c>
      <c r="D820" s="3" t="s">
        <v>832</v>
      </c>
      <c r="E820" s="3" t="s">
        <v>13</v>
      </c>
      <c r="F820" s="3">
        <v>35</v>
      </c>
      <c r="G820" s="8" t="str" cm="1">
        <f t="array" ref="G820">_xlfn.IFS(
    F820 &lt; 25, "Young",
    F820 &lt;= 40, "Mid-Age",
    F820 &gt; 40, "Old-Age"
)</f>
        <v>Mid-Age</v>
      </c>
      <c r="H820" s="3" t="s">
        <v>11</v>
      </c>
      <c r="I820" s="3">
        <v>2</v>
      </c>
      <c r="J820" s="3">
        <v>50</v>
      </c>
      <c r="K820" s="3">
        <v>100</v>
      </c>
      <c r="L820" s="3">
        <f t="shared" si="25"/>
        <v>1.0572470248660868</v>
      </c>
    </row>
    <row r="821" spans="1:12" x14ac:dyDescent="0.3">
      <c r="A821" s="3">
        <v>820</v>
      </c>
      <c r="B821" s="4">
        <v>45052</v>
      </c>
      <c r="C821" s="9" t="str">
        <f t="shared" si="24"/>
        <v>May</v>
      </c>
      <c r="D821" s="3" t="s">
        <v>833</v>
      </c>
      <c r="E821" s="3" t="s">
        <v>10</v>
      </c>
      <c r="F821" s="3">
        <v>49</v>
      </c>
      <c r="G821" s="8" t="str" cm="1">
        <f t="array" ref="G821">_xlfn.IFS(
    F821 &lt; 25, "Young",
    F821 &lt;= 40, "Mid-Age",
    F821 &gt; 40, "Old-Age"
)</f>
        <v>Old-Age</v>
      </c>
      <c r="H821" s="3" t="s">
        <v>16</v>
      </c>
      <c r="I821" s="3">
        <v>4</v>
      </c>
      <c r="J821" s="3">
        <v>50</v>
      </c>
      <c r="K821" s="3">
        <v>200</v>
      </c>
      <c r="L821" s="3">
        <f t="shared" si="25"/>
        <v>1.0487398012006983</v>
      </c>
    </row>
    <row r="822" spans="1:12" x14ac:dyDescent="0.3">
      <c r="A822" s="3">
        <v>821</v>
      </c>
      <c r="B822" s="4">
        <v>44971</v>
      </c>
      <c r="C822" s="9" t="str">
        <f t="shared" si="24"/>
        <v>February</v>
      </c>
      <c r="D822" s="3" t="s">
        <v>834</v>
      </c>
      <c r="E822" s="3" t="s">
        <v>10</v>
      </c>
      <c r="F822" s="3">
        <v>49</v>
      </c>
      <c r="G822" s="8" t="str" cm="1">
        <f t="array" ref="G822">_xlfn.IFS(
    F822 &lt; 25, "Young",
    F822 &lt;= 40, "Mid-Age",
    F822 &gt; 40, "Old-Age"
)</f>
        <v>Old-Age</v>
      </c>
      <c r="H822" s="3" t="s">
        <v>16</v>
      </c>
      <c r="I822" s="3">
        <v>1</v>
      </c>
      <c r="J822" s="3">
        <v>300</v>
      </c>
      <c r="K822" s="3">
        <v>300</v>
      </c>
      <c r="L822" s="3">
        <f t="shared" si="25"/>
        <v>1.0401825308723787</v>
      </c>
    </row>
    <row r="823" spans="1:12" x14ac:dyDescent="0.3">
      <c r="A823" s="3">
        <v>822</v>
      </c>
      <c r="B823" s="4">
        <v>45069</v>
      </c>
      <c r="C823" s="9" t="str">
        <f t="shared" si="24"/>
        <v>May</v>
      </c>
      <c r="D823" s="3" t="s">
        <v>835</v>
      </c>
      <c r="E823" s="3" t="s">
        <v>13</v>
      </c>
      <c r="F823" s="3">
        <v>52</v>
      </c>
      <c r="G823" s="8" t="str" cm="1">
        <f t="array" ref="G823">_xlfn.IFS(
    F823 &lt; 25, "Young",
    F823 &lt;= 40, "Mid-Age",
    F823 &gt; 40, "Old-Age"
)</f>
        <v>Old-Age</v>
      </c>
      <c r="H823" s="3" t="s">
        <v>11</v>
      </c>
      <c r="I823" s="3">
        <v>3</v>
      </c>
      <c r="J823" s="3">
        <v>50</v>
      </c>
      <c r="K823" s="3">
        <v>150</v>
      </c>
      <c r="L823" s="3">
        <f t="shared" si="25"/>
        <v>1.054383612533089</v>
      </c>
    </row>
    <row r="824" spans="1:12" x14ac:dyDescent="0.3">
      <c r="A824" s="3">
        <v>823</v>
      </c>
      <c r="B824" s="4">
        <v>45157</v>
      </c>
      <c r="C824" s="9" t="str">
        <f t="shared" si="24"/>
        <v>August</v>
      </c>
      <c r="D824" s="3" t="s">
        <v>836</v>
      </c>
      <c r="E824" s="3" t="s">
        <v>13</v>
      </c>
      <c r="F824" s="3">
        <v>56</v>
      </c>
      <c r="G824" s="8" t="str" cm="1">
        <f t="array" ref="G824">_xlfn.IFS(
    F824 &lt; 25, "Young",
    F824 &lt;= 40, "Mid-Age",
    F824 &gt; 40, "Old-Age"
)</f>
        <v>Old-Age</v>
      </c>
      <c r="H824" s="3" t="s">
        <v>16</v>
      </c>
      <c r="I824" s="3">
        <v>2</v>
      </c>
      <c r="J824" s="3">
        <v>50</v>
      </c>
      <c r="K824" s="3">
        <v>100</v>
      </c>
      <c r="L824" s="3">
        <f t="shared" si="25"/>
        <v>1.0457337175631527</v>
      </c>
    </row>
    <row r="825" spans="1:12" x14ac:dyDescent="0.3">
      <c r="A825" s="3">
        <v>824</v>
      </c>
      <c r="B825" s="4">
        <v>45051</v>
      </c>
      <c r="C825" s="9" t="str">
        <f t="shared" si="24"/>
        <v>May</v>
      </c>
      <c r="D825" s="3" t="s">
        <v>837</v>
      </c>
      <c r="E825" s="3" t="s">
        <v>10</v>
      </c>
      <c r="F825" s="3">
        <v>63</v>
      </c>
      <c r="G825" s="8" t="str" cm="1">
        <f t="array" ref="G825">_xlfn.IFS(
    F825 &lt; 25, "Young",
    F825 &lt;= 40, "Mid-Age",
    F825 &gt; 40, "Old-Age"
)</f>
        <v>Old-Age</v>
      </c>
      <c r="H825" s="3" t="s">
        <v>14</v>
      </c>
      <c r="I825" s="3">
        <v>4</v>
      </c>
      <c r="J825" s="3">
        <v>30</v>
      </c>
      <c r="K825" s="3">
        <v>120</v>
      </c>
      <c r="L825" s="3">
        <f t="shared" si="25"/>
        <v>1.037032006827312</v>
      </c>
    </row>
    <row r="826" spans="1:12" x14ac:dyDescent="0.3">
      <c r="A826" s="3">
        <v>825</v>
      </c>
      <c r="B826" s="4">
        <v>45164</v>
      </c>
      <c r="C826" s="9" t="str">
        <f t="shared" si="24"/>
        <v>August</v>
      </c>
      <c r="D826" s="3" t="s">
        <v>838</v>
      </c>
      <c r="E826" s="3" t="s">
        <v>13</v>
      </c>
      <c r="F826" s="3">
        <v>46</v>
      </c>
      <c r="G826" s="8" t="str" cm="1">
        <f t="array" ref="G826">_xlfn.IFS(
    F826 &lt; 25, "Young",
    F826 &lt;= 40, "Mid-Age",
    F826 &gt; 40, "Old-Age"
)</f>
        <v>Old-Age</v>
      </c>
      <c r="H826" s="3" t="s">
        <v>11</v>
      </c>
      <c r="I826" s="3">
        <v>1</v>
      </c>
      <c r="J826" s="3">
        <v>25</v>
      </c>
      <c r="K826" s="3">
        <v>25</v>
      </c>
      <c r="L826" s="3">
        <f t="shared" si="25"/>
        <v>1.0284062346062965</v>
      </c>
    </row>
    <row r="827" spans="1:12" x14ac:dyDescent="0.3">
      <c r="A827" s="3">
        <v>826</v>
      </c>
      <c r="B827" s="4">
        <v>45218</v>
      </c>
      <c r="C827" s="9" t="str">
        <f t="shared" si="24"/>
        <v>October</v>
      </c>
      <c r="D827" s="3" t="s">
        <v>839</v>
      </c>
      <c r="E827" s="3" t="s">
        <v>13</v>
      </c>
      <c r="F827" s="3">
        <v>46</v>
      </c>
      <c r="G827" s="8" t="str" cm="1">
        <f t="array" ref="G827">_xlfn.IFS(
    F827 &lt; 25, "Young",
    F827 &lt;= 40, "Mid-Age",
    F827 &gt; 40, "Old-Age"
)</f>
        <v>Old-Age</v>
      </c>
      <c r="H827" s="3" t="s">
        <v>14</v>
      </c>
      <c r="I827" s="3">
        <v>1</v>
      </c>
      <c r="J827" s="3">
        <v>300</v>
      </c>
      <c r="K827" s="3">
        <v>300</v>
      </c>
      <c r="L827" s="3">
        <f t="shared" si="25"/>
        <v>1.019844576862234</v>
      </c>
    </row>
    <row r="828" spans="1:12" x14ac:dyDescent="0.3">
      <c r="A828" s="3">
        <v>827</v>
      </c>
      <c r="B828" s="4">
        <v>45239</v>
      </c>
      <c r="C828" s="9" t="str">
        <f t="shared" si="24"/>
        <v>November</v>
      </c>
      <c r="D828" s="3" t="s">
        <v>840</v>
      </c>
      <c r="E828" s="3" t="s">
        <v>10</v>
      </c>
      <c r="F828" s="3">
        <v>61</v>
      </c>
      <c r="G828" s="8" t="str" cm="1">
        <f t="array" ref="G828">_xlfn.IFS(
    F828 &lt; 25, "Young",
    F828 &lt;= 40, "Mid-Age",
    F828 &gt; 40, "Old-Age"
)</f>
        <v>Old-Age</v>
      </c>
      <c r="H828" s="3" t="s">
        <v>11</v>
      </c>
      <c r="I828" s="3">
        <v>3</v>
      </c>
      <c r="J828" s="3">
        <v>300</v>
      </c>
      <c r="K828" s="3">
        <v>900</v>
      </c>
      <c r="L828" s="3">
        <f t="shared" si="25"/>
        <v>1.0340686342636054</v>
      </c>
    </row>
    <row r="829" spans="1:12" x14ac:dyDescent="0.3">
      <c r="A829" s="3">
        <v>828</v>
      </c>
      <c r="B829" s="4">
        <v>45269</v>
      </c>
      <c r="C829" s="9" t="str">
        <f t="shared" si="24"/>
        <v>December</v>
      </c>
      <c r="D829" s="3" t="s">
        <v>841</v>
      </c>
      <c r="E829" s="3" t="s">
        <v>13</v>
      </c>
      <c r="F829" s="3">
        <v>33</v>
      </c>
      <c r="G829" s="8" t="str" cm="1">
        <f t="array" ref="G829">_xlfn.IFS(
    F829 &lt; 25, "Young",
    F829 &lt;= 40, "Mid-Age",
    F829 &gt; 40, "Old-Age"
)</f>
        <v>Mid-Age</v>
      </c>
      <c r="H829" s="3" t="s">
        <v>16</v>
      </c>
      <c r="I829" s="3">
        <v>4</v>
      </c>
      <c r="J829" s="3">
        <v>300</v>
      </c>
      <c r="K829" s="3">
        <v>1200</v>
      </c>
      <c r="L829" s="3">
        <f t="shared" si="25"/>
        <v>1.0485017130597947</v>
      </c>
    </row>
    <row r="830" spans="1:12" x14ac:dyDescent="0.3">
      <c r="A830" s="3">
        <v>829</v>
      </c>
      <c r="B830" s="4">
        <v>45121</v>
      </c>
      <c r="C830" s="9" t="str">
        <f t="shared" si="24"/>
        <v>July</v>
      </c>
      <c r="D830" s="3" t="s">
        <v>842</v>
      </c>
      <c r="E830" s="3" t="s">
        <v>10</v>
      </c>
      <c r="F830" s="3">
        <v>61</v>
      </c>
      <c r="G830" s="8" t="str" cm="1">
        <f t="array" ref="G830">_xlfn.IFS(
    F830 &lt; 25, "Young",
    F830 &lt;= 40, "Mid-Age",
    F830 &gt; 40, "Old-Age"
)</f>
        <v>Old-Age</v>
      </c>
      <c r="H830" s="3" t="s">
        <v>11</v>
      </c>
      <c r="I830" s="3">
        <v>3</v>
      </c>
      <c r="J830" s="3">
        <v>30</v>
      </c>
      <c r="K830" s="3">
        <v>90</v>
      </c>
      <c r="L830" s="3">
        <f t="shared" si="25"/>
        <v>1.0631496503732725</v>
      </c>
    </row>
    <row r="831" spans="1:12" x14ac:dyDescent="0.3">
      <c r="A831" s="3">
        <v>830</v>
      </c>
      <c r="B831" s="4">
        <v>45099</v>
      </c>
      <c r="C831" s="9" t="str">
        <f t="shared" si="24"/>
        <v>June</v>
      </c>
      <c r="D831" s="3" t="s">
        <v>843</v>
      </c>
      <c r="E831" s="3" t="s">
        <v>13</v>
      </c>
      <c r="F831" s="3">
        <v>64</v>
      </c>
      <c r="G831" s="8" t="str" cm="1">
        <f t="array" ref="G831">_xlfn.IFS(
    F831 &lt; 25, "Young",
    F831 &lt;= 40, "Mid-Age",
    F831 &gt; 40, "Old-Age"
)</f>
        <v>Old-Age</v>
      </c>
      <c r="H831" s="3" t="s">
        <v>14</v>
      </c>
      <c r="I831" s="3">
        <v>3</v>
      </c>
      <c r="J831" s="3">
        <v>50</v>
      </c>
      <c r="K831" s="3">
        <v>150</v>
      </c>
      <c r="L831" s="3">
        <f t="shared" si="25"/>
        <v>1.0542709184547621</v>
      </c>
    </row>
    <row r="832" spans="1:12" x14ac:dyDescent="0.3">
      <c r="A832" s="3">
        <v>831</v>
      </c>
      <c r="B832" s="4">
        <v>44941</v>
      </c>
      <c r="C832" s="9" t="str">
        <f t="shared" si="24"/>
        <v>January</v>
      </c>
      <c r="D832" s="3" t="s">
        <v>844</v>
      </c>
      <c r="E832" s="3" t="s">
        <v>10</v>
      </c>
      <c r="F832" s="3">
        <v>27</v>
      </c>
      <c r="G832" s="8" t="str" cm="1">
        <f t="array" ref="G832">_xlfn.IFS(
    F832 &lt; 25, "Young",
    F832 &lt;= 40, "Mid-Age",
    F832 &gt; 40, "Old-Age"
)</f>
        <v>Mid-Age</v>
      </c>
      <c r="H832" s="3" t="s">
        <v>16</v>
      </c>
      <c r="I832" s="3">
        <v>4</v>
      </c>
      <c r="J832" s="3">
        <v>25</v>
      </c>
      <c r="K832" s="3">
        <v>100</v>
      </c>
      <c r="L832" s="3">
        <f t="shared" si="25"/>
        <v>1.0452162361884096</v>
      </c>
    </row>
    <row r="833" spans="1:12" x14ac:dyDescent="0.3">
      <c r="A833" s="3">
        <v>832</v>
      </c>
      <c r="B833" s="4">
        <v>45180</v>
      </c>
      <c r="C833" s="9" t="str">
        <f t="shared" si="24"/>
        <v>September</v>
      </c>
      <c r="D833" s="3" t="s">
        <v>845</v>
      </c>
      <c r="E833" s="3" t="s">
        <v>10</v>
      </c>
      <c r="F833" s="3">
        <v>47</v>
      </c>
      <c r="G833" s="8" t="str" cm="1">
        <f t="array" ref="G833">_xlfn.IFS(
    F833 &lt; 25, "Young",
    F833 &lt;= 40, "Mid-Age",
    F833 &gt; 40, "Old-Age"
)</f>
        <v>Old-Age</v>
      </c>
      <c r="H833" s="3" t="s">
        <v>11</v>
      </c>
      <c r="I833" s="3">
        <v>4</v>
      </c>
      <c r="J833" s="3">
        <v>500</v>
      </c>
      <c r="K833" s="3">
        <v>2000</v>
      </c>
      <c r="L833" s="3">
        <f t="shared" si="25"/>
        <v>1.0363401874162466</v>
      </c>
    </row>
    <row r="834" spans="1:12" x14ac:dyDescent="0.3">
      <c r="A834" s="3">
        <v>833</v>
      </c>
      <c r="B834" s="4">
        <v>45093</v>
      </c>
      <c r="C834" s="9" t="str">
        <f t="shared" ref="C834:C897" si="26">TEXT(B834,"mmmm")</f>
        <v>June</v>
      </c>
      <c r="D834" s="3" t="s">
        <v>846</v>
      </c>
      <c r="E834" s="3" t="s">
        <v>10</v>
      </c>
      <c r="F834" s="3">
        <v>42</v>
      </c>
      <c r="G834" s="8" t="str" cm="1">
        <f t="array" ref="G834">_xlfn.IFS(
    F834 &lt; 25, "Young",
    F834 &lt;= 40, "Mid-Age",
    F834 &gt; 40, "Old-Age"
)</f>
        <v>Old-Age</v>
      </c>
      <c r="H834" s="3" t="s">
        <v>11</v>
      </c>
      <c r="I834" s="3">
        <v>4</v>
      </c>
      <c r="J834" s="3">
        <v>50</v>
      </c>
      <c r="K834" s="3">
        <v>200</v>
      </c>
      <c r="L834" s="3">
        <f t="shared" ref="L834:L897" si="27">SKEW(J834:J1833)</f>
        <v>1.0592687355118955</v>
      </c>
    </row>
    <row r="835" spans="1:12" x14ac:dyDescent="0.3">
      <c r="A835" s="3">
        <v>834</v>
      </c>
      <c r="B835" s="4">
        <v>45020</v>
      </c>
      <c r="C835" s="9" t="str">
        <f t="shared" si="26"/>
        <v>April</v>
      </c>
      <c r="D835" s="3" t="s">
        <v>847</v>
      </c>
      <c r="E835" s="3" t="s">
        <v>13</v>
      </c>
      <c r="F835" s="3">
        <v>56</v>
      </c>
      <c r="G835" s="8" t="str" cm="1">
        <f t="array" ref="G835">_xlfn.IFS(
    F835 &lt; 25, "Young",
    F835 &lt;= 40, "Mid-Age",
    F835 &gt; 40, "Old-Age"
)</f>
        <v>Old-Age</v>
      </c>
      <c r="H835" s="3" t="s">
        <v>11</v>
      </c>
      <c r="I835" s="3">
        <v>2</v>
      </c>
      <c r="J835" s="3">
        <v>30</v>
      </c>
      <c r="K835" s="3">
        <v>60</v>
      </c>
      <c r="L835" s="3">
        <f t="shared" si="27"/>
        <v>1.0500529142775286</v>
      </c>
    </row>
    <row r="836" spans="1:12" x14ac:dyDescent="0.3">
      <c r="A836" s="3">
        <v>835</v>
      </c>
      <c r="B836" s="4">
        <v>45176</v>
      </c>
      <c r="C836" s="9" t="str">
        <f t="shared" si="26"/>
        <v>September</v>
      </c>
      <c r="D836" s="3" t="s">
        <v>848</v>
      </c>
      <c r="E836" s="3" t="s">
        <v>10</v>
      </c>
      <c r="F836" s="3">
        <v>37</v>
      </c>
      <c r="G836" s="8" t="str" cm="1">
        <f t="array" ref="G836">_xlfn.IFS(
    F836 &lt; 25, "Young",
    F836 &lt;= 40, "Mid-Age",
    F836 &gt; 40, "Old-Age"
)</f>
        <v>Mid-Age</v>
      </c>
      <c r="H836" s="3" t="s">
        <v>14</v>
      </c>
      <c r="I836" s="3">
        <v>4</v>
      </c>
      <c r="J836" s="3">
        <v>50</v>
      </c>
      <c r="K836" s="3">
        <v>200</v>
      </c>
      <c r="L836" s="3">
        <f t="shared" si="27"/>
        <v>1.0409048815398729</v>
      </c>
    </row>
    <row r="837" spans="1:12" x14ac:dyDescent="0.3">
      <c r="A837" s="3">
        <v>836</v>
      </c>
      <c r="B837" s="4">
        <v>45035</v>
      </c>
      <c r="C837" s="9" t="str">
        <f t="shared" si="26"/>
        <v>April</v>
      </c>
      <c r="D837" s="3" t="s">
        <v>849</v>
      </c>
      <c r="E837" s="3" t="s">
        <v>13</v>
      </c>
      <c r="F837" s="3">
        <v>22</v>
      </c>
      <c r="G837" s="8" t="str" cm="1">
        <f t="array" ref="G837">_xlfn.IFS(
    F837 &lt; 25, "Young",
    F837 &lt;= 40, "Mid-Age",
    F837 &gt; 40, "Old-Age"
)</f>
        <v>Young</v>
      </c>
      <c r="H837" s="3" t="s">
        <v>14</v>
      </c>
      <c r="I837" s="3">
        <v>1</v>
      </c>
      <c r="J837" s="3">
        <v>50</v>
      </c>
      <c r="K837" s="3">
        <v>50</v>
      </c>
      <c r="L837" s="3">
        <f t="shared" si="27"/>
        <v>1.0315694020817945</v>
      </c>
    </row>
    <row r="838" spans="1:12" x14ac:dyDescent="0.3">
      <c r="A838" s="3">
        <v>837</v>
      </c>
      <c r="B838" s="4">
        <v>45108</v>
      </c>
      <c r="C838" s="9" t="str">
        <f t="shared" si="26"/>
        <v>July</v>
      </c>
      <c r="D838" s="3" t="s">
        <v>850</v>
      </c>
      <c r="E838" s="3" t="s">
        <v>10</v>
      </c>
      <c r="F838" s="3">
        <v>18</v>
      </c>
      <c r="G838" s="8" t="str" cm="1">
        <f t="array" ref="G838">_xlfn.IFS(
    F838 &lt; 25, "Young",
    F838 &lt;= 40, "Mid-Age",
    F838 &gt; 40, "Old-Age"
)</f>
        <v>Young</v>
      </c>
      <c r="H838" s="3" t="s">
        <v>11</v>
      </c>
      <c r="I838" s="3">
        <v>3</v>
      </c>
      <c r="J838" s="3">
        <v>30</v>
      </c>
      <c r="K838" s="3">
        <v>90</v>
      </c>
      <c r="L838" s="3">
        <f t="shared" si="27"/>
        <v>1.0221731201610489</v>
      </c>
    </row>
    <row r="839" spans="1:12" x14ac:dyDescent="0.3">
      <c r="A839" s="3">
        <v>838</v>
      </c>
      <c r="B839" s="4">
        <v>45059</v>
      </c>
      <c r="C839" s="9" t="str">
        <f t="shared" si="26"/>
        <v>May</v>
      </c>
      <c r="D839" s="3" t="s">
        <v>851</v>
      </c>
      <c r="E839" s="3" t="s">
        <v>10</v>
      </c>
      <c r="F839" s="3">
        <v>47</v>
      </c>
      <c r="G839" s="8" t="str" cm="1">
        <f t="array" ref="G839">_xlfn.IFS(
    F839 &lt; 25, "Young",
    F839 &lt;= 40, "Mid-Age",
    F839 &gt; 40, "Old-Age"
)</f>
        <v>Old-Age</v>
      </c>
      <c r="H839" s="3" t="s">
        <v>16</v>
      </c>
      <c r="I839" s="3">
        <v>2</v>
      </c>
      <c r="J839" s="3">
        <v>300</v>
      </c>
      <c r="K839" s="3">
        <v>600</v>
      </c>
      <c r="L839" s="3">
        <f t="shared" si="27"/>
        <v>1.0128430014614955</v>
      </c>
    </row>
    <row r="840" spans="1:12" x14ac:dyDescent="0.3">
      <c r="A840" s="3">
        <v>839</v>
      </c>
      <c r="B840" s="4">
        <v>45101</v>
      </c>
      <c r="C840" s="9" t="str">
        <f t="shared" si="26"/>
        <v>June</v>
      </c>
      <c r="D840" s="3" t="s">
        <v>852</v>
      </c>
      <c r="E840" s="3" t="s">
        <v>13</v>
      </c>
      <c r="F840" s="3">
        <v>20</v>
      </c>
      <c r="G840" s="8" t="str" cm="1">
        <f t="array" ref="G840">_xlfn.IFS(
    F840 &lt; 25, "Young",
    F840 &lt;= 40, "Mid-Age",
    F840 &gt; 40, "Old-Age"
)</f>
        <v>Young</v>
      </c>
      <c r="H840" s="3" t="s">
        <v>16</v>
      </c>
      <c r="I840" s="3">
        <v>4</v>
      </c>
      <c r="J840" s="3">
        <v>300</v>
      </c>
      <c r="K840" s="3">
        <v>1200</v>
      </c>
      <c r="L840" s="3">
        <f t="shared" si="27"/>
        <v>1.0278633871277414</v>
      </c>
    </row>
    <row r="841" spans="1:12" x14ac:dyDescent="0.3">
      <c r="A841" s="3">
        <v>840</v>
      </c>
      <c r="B841" s="4">
        <v>45070</v>
      </c>
      <c r="C841" s="9" t="str">
        <f t="shared" si="26"/>
        <v>May</v>
      </c>
      <c r="D841" s="3" t="s">
        <v>853</v>
      </c>
      <c r="E841" s="3" t="s">
        <v>10</v>
      </c>
      <c r="F841" s="3">
        <v>62</v>
      </c>
      <c r="G841" s="8" t="str" cm="1">
        <f t="array" ref="G841">_xlfn.IFS(
    F841 &lt; 25, "Young",
    F841 &lt;= 40, "Mid-Age",
    F841 &gt; 40, "Old-Age"
)</f>
        <v>Old-Age</v>
      </c>
      <c r="H841" s="3" t="s">
        <v>14</v>
      </c>
      <c r="I841" s="3">
        <v>2</v>
      </c>
      <c r="J841" s="3">
        <v>25</v>
      </c>
      <c r="K841" s="3">
        <v>50</v>
      </c>
      <c r="L841" s="3">
        <f t="shared" si="27"/>
        <v>1.0431179276716867</v>
      </c>
    </row>
    <row r="842" spans="1:12" x14ac:dyDescent="0.3">
      <c r="A842" s="3">
        <v>841</v>
      </c>
      <c r="B842" s="4">
        <v>45232</v>
      </c>
      <c r="C842" s="9" t="str">
        <f t="shared" si="26"/>
        <v>November</v>
      </c>
      <c r="D842" s="3" t="s">
        <v>854</v>
      </c>
      <c r="E842" s="3" t="s">
        <v>10</v>
      </c>
      <c r="F842" s="3">
        <v>31</v>
      </c>
      <c r="G842" s="8" t="str" cm="1">
        <f t="array" ref="G842">_xlfn.IFS(
    F842 &lt; 25, "Young",
    F842 &lt;= 40, "Mid-Age",
    F842 &gt; 40, "Old-Age"
)</f>
        <v>Mid-Age</v>
      </c>
      <c r="H842" s="3" t="s">
        <v>16</v>
      </c>
      <c r="I842" s="3">
        <v>4</v>
      </c>
      <c r="J842" s="3">
        <v>25</v>
      </c>
      <c r="K842" s="3">
        <v>100</v>
      </c>
      <c r="L842" s="3">
        <f t="shared" si="27"/>
        <v>1.0337302634708978</v>
      </c>
    </row>
    <row r="843" spans="1:12" x14ac:dyDescent="0.3">
      <c r="A843" s="3">
        <v>842</v>
      </c>
      <c r="B843" s="4">
        <v>45286</v>
      </c>
      <c r="C843" s="9" t="str">
        <f t="shared" si="26"/>
        <v>December</v>
      </c>
      <c r="D843" s="3" t="s">
        <v>855</v>
      </c>
      <c r="E843" s="3" t="s">
        <v>13</v>
      </c>
      <c r="F843" s="3">
        <v>47</v>
      </c>
      <c r="G843" s="8" t="str" cm="1">
        <f t="array" ref="G843">_xlfn.IFS(
    F843 &lt; 25, "Young",
    F843 &lt;= 40, "Mid-Age",
    F843 &gt; 40, "Old-Age"
)</f>
        <v>Old-Age</v>
      </c>
      <c r="H843" s="3" t="s">
        <v>14</v>
      </c>
      <c r="I843" s="3">
        <v>2</v>
      </c>
      <c r="J843" s="3">
        <v>300</v>
      </c>
      <c r="K843" s="3">
        <v>600</v>
      </c>
      <c r="L843" s="3">
        <f t="shared" si="27"/>
        <v>1.0242831079137498</v>
      </c>
    </row>
    <row r="844" spans="1:12" x14ac:dyDescent="0.3">
      <c r="A844" s="3">
        <v>843</v>
      </c>
      <c r="B844" s="4">
        <v>45068</v>
      </c>
      <c r="C844" s="9" t="str">
        <f t="shared" si="26"/>
        <v>May</v>
      </c>
      <c r="D844" s="3" t="s">
        <v>856</v>
      </c>
      <c r="E844" s="3" t="s">
        <v>10</v>
      </c>
      <c r="F844" s="3">
        <v>21</v>
      </c>
      <c r="G844" s="8" t="str" cm="1">
        <f t="array" ref="G844">_xlfn.IFS(
    F844 &lt; 25, "Young",
    F844 &lt;= 40, "Mid-Age",
    F844 &gt; 40, "Old-Age"
)</f>
        <v>Young</v>
      </c>
      <c r="H844" s="3" t="s">
        <v>11</v>
      </c>
      <c r="I844" s="3">
        <v>3</v>
      </c>
      <c r="J844" s="3">
        <v>500</v>
      </c>
      <c r="K844" s="3">
        <v>1500</v>
      </c>
      <c r="L844" s="3">
        <f t="shared" si="27"/>
        <v>1.0396574037940709</v>
      </c>
    </row>
    <row r="845" spans="1:12" x14ac:dyDescent="0.3">
      <c r="A845" s="3">
        <v>844</v>
      </c>
      <c r="B845" s="4">
        <v>45211</v>
      </c>
      <c r="C845" s="9" t="str">
        <f t="shared" si="26"/>
        <v>October</v>
      </c>
      <c r="D845" s="3" t="s">
        <v>857</v>
      </c>
      <c r="E845" s="3" t="s">
        <v>10</v>
      </c>
      <c r="F845" s="3">
        <v>35</v>
      </c>
      <c r="G845" s="8" t="str" cm="1">
        <f t="array" ref="G845">_xlfn.IFS(
    F845 &lt; 25, "Young",
    F845 &lt;= 40, "Mid-Age",
    F845 &gt; 40, "Old-Age"
)</f>
        <v>Mid-Age</v>
      </c>
      <c r="H845" s="3" t="s">
        <v>14</v>
      </c>
      <c r="I845" s="3">
        <v>3</v>
      </c>
      <c r="J845" s="3">
        <v>50</v>
      </c>
      <c r="K845" s="3">
        <v>150</v>
      </c>
      <c r="L845" s="3">
        <f t="shared" si="27"/>
        <v>1.0645305347533678</v>
      </c>
    </row>
    <row r="846" spans="1:12" x14ac:dyDescent="0.3">
      <c r="A846" s="3">
        <v>845</v>
      </c>
      <c r="B846" s="4">
        <v>44932</v>
      </c>
      <c r="C846" s="9" t="str">
        <f t="shared" si="26"/>
        <v>January</v>
      </c>
      <c r="D846" s="3" t="s">
        <v>858</v>
      </c>
      <c r="E846" s="3" t="s">
        <v>10</v>
      </c>
      <c r="F846" s="3">
        <v>54</v>
      </c>
      <c r="G846" s="8" t="str" cm="1">
        <f t="array" ref="G846">_xlfn.IFS(
    F846 &lt; 25, "Young",
    F846 &lt;= 40, "Mid-Age",
    F846 &gt; 40, "Old-Age"
)</f>
        <v>Old-Age</v>
      </c>
      <c r="H846" s="3" t="s">
        <v>14</v>
      </c>
      <c r="I846" s="3">
        <v>1</v>
      </c>
      <c r="J846" s="3">
        <v>500</v>
      </c>
      <c r="K846" s="3">
        <v>500</v>
      </c>
      <c r="L846" s="3">
        <f t="shared" si="27"/>
        <v>1.0546696488205218</v>
      </c>
    </row>
    <row r="847" spans="1:12" x14ac:dyDescent="0.3">
      <c r="A847" s="3">
        <v>846</v>
      </c>
      <c r="B847" s="4">
        <v>45191</v>
      </c>
      <c r="C847" s="9" t="str">
        <f t="shared" si="26"/>
        <v>September</v>
      </c>
      <c r="D847" s="3" t="s">
        <v>859</v>
      </c>
      <c r="E847" s="3" t="s">
        <v>10</v>
      </c>
      <c r="F847" s="3">
        <v>42</v>
      </c>
      <c r="G847" s="8" t="str" cm="1">
        <f t="array" ref="G847">_xlfn.IFS(
    F847 &lt; 25, "Young",
    F847 &lt;= 40, "Mid-Age",
    F847 &gt; 40, "Old-Age"
)</f>
        <v>Old-Age</v>
      </c>
      <c r="H847" s="3" t="s">
        <v>11</v>
      </c>
      <c r="I847" s="3">
        <v>1</v>
      </c>
      <c r="J847" s="3">
        <v>50</v>
      </c>
      <c r="K847" s="3">
        <v>50</v>
      </c>
      <c r="L847" s="3">
        <f t="shared" si="27"/>
        <v>1.0800418979599469</v>
      </c>
    </row>
    <row r="848" spans="1:12" x14ac:dyDescent="0.3">
      <c r="A848" s="3">
        <v>847</v>
      </c>
      <c r="B848" s="4">
        <v>45024</v>
      </c>
      <c r="C848" s="9" t="str">
        <f t="shared" si="26"/>
        <v>April</v>
      </c>
      <c r="D848" s="3" t="s">
        <v>860</v>
      </c>
      <c r="E848" s="3" t="s">
        <v>13</v>
      </c>
      <c r="F848" s="3">
        <v>18</v>
      </c>
      <c r="G848" s="8" t="str" cm="1">
        <f t="array" ref="G848">_xlfn.IFS(
    F848 &lt; 25, "Young",
    F848 &lt;= 40, "Mid-Age",
    F848 &gt; 40, "Old-Age"
)</f>
        <v>Young</v>
      </c>
      <c r="H848" s="3" t="s">
        <v>16</v>
      </c>
      <c r="I848" s="3">
        <v>4</v>
      </c>
      <c r="J848" s="3">
        <v>300</v>
      </c>
      <c r="K848" s="3">
        <v>1200</v>
      </c>
      <c r="L848" s="3">
        <f t="shared" si="27"/>
        <v>1.0700597812763502</v>
      </c>
    </row>
    <row r="849" spans="1:12" x14ac:dyDescent="0.3">
      <c r="A849" s="3">
        <v>848</v>
      </c>
      <c r="B849" s="4">
        <v>44970</v>
      </c>
      <c r="C849" s="9" t="str">
        <f t="shared" si="26"/>
        <v>February</v>
      </c>
      <c r="D849" s="3" t="s">
        <v>861</v>
      </c>
      <c r="E849" s="3" t="s">
        <v>13</v>
      </c>
      <c r="F849" s="3">
        <v>63</v>
      </c>
      <c r="G849" s="8" t="str" cm="1">
        <f t="array" ref="G849">_xlfn.IFS(
    F849 &lt; 25, "Young",
    F849 &lt;= 40, "Mid-Age",
    F849 &gt; 40, "Old-Age"
)</f>
        <v>Old-Age</v>
      </c>
      <c r="H849" s="3" t="s">
        <v>14</v>
      </c>
      <c r="I849" s="3">
        <v>3</v>
      </c>
      <c r="J849" s="3">
        <v>25</v>
      </c>
      <c r="K849" s="3">
        <v>75</v>
      </c>
      <c r="L849" s="3">
        <f t="shared" si="27"/>
        <v>1.0868856018156852</v>
      </c>
    </row>
    <row r="850" spans="1:12" x14ac:dyDescent="0.3">
      <c r="A850" s="3">
        <v>849</v>
      </c>
      <c r="B850" s="4">
        <v>45050</v>
      </c>
      <c r="C850" s="9" t="str">
        <f t="shared" si="26"/>
        <v>May</v>
      </c>
      <c r="D850" s="3" t="s">
        <v>862</v>
      </c>
      <c r="E850" s="3" t="s">
        <v>10</v>
      </c>
      <c r="F850" s="3">
        <v>32</v>
      </c>
      <c r="G850" s="8" t="str" cm="1">
        <f t="array" ref="G850">_xlfn.IFS(
    F850 &lt; 25, "Young",
    F850 &lt;= 40, "Mid-Age",
    F850 &gt; 40, "Old-Age"
)</f>
        <v>Mid-Age</v>
      </c>
      <c r="H850" s="3" t="s">
        <v>14</v>
      </c>
      <c r="I850" s="3">
        <v>2</v>
      </c>
      <c r="J850" s="3">
        <v>25</v>
      </c>
      <c r="K850" s="3">
        <v>50</v>
      </c>
      <c r="L850" s="3">
        <f t="shared" si="27"/>
        <v>1.0770141075062685</v>
      </c>
    </row>
    <row r="851" spans="1:12" x14ac:dyDescent="0.3">
      <c r="A851" s="3">
        <v>850</v>
      </c>
      <c r="B851" s="4">
        <v>45135</v>
      </c>
      <c r="C851" s="9" t="str">
        <f t="shared" si="26"/>
        <v>July</v>
      </c>
      <c r="D851" s="3" t="s">
        <v>863</v>
      </c>
      <c r="E851" s="3" t="s">
        <v>13</v>
      </c>
      <c r="F851" s="3">
        <v>26</v>
      </c>
      <c r="G851" s="8" t="str" cm="1">
        <f t="array" ref="G851">_xlfn.IFS(
    F851 &lt; 25, "Young",
    F851 &lt;= 40, "Mid-Age",
    F851 &gt; 40, "Old-Age"
)</f>
        <v>Mid-Age</v>
      </c>
      <c r="H851" s="3" t="s">
        <v>11</v>
      </c>
      <c r="I851" s="3">
        <v>2</v>
      </c>
      <c r="J851" s="3">
        <v>500</v>
      </c>
      <c r="K851" s="3">
        <v>1000</v>
      </c>
      <c r="L851" s="3">
        <f t="shared" si="27"/>
        <v>1.0670778836983004</v>
      </c>
    </row>
    <row r="852" spans="1:12" x14ac:dyDescent="0.3">
      <c r="A852" s="3">
        <v>851</v>
      </c>
      <c r="B852" s="4">
        <v>45177</v>
      </c>
      <c r="C852" s="9" t="str">
        <f t="shared" si="26"/>
        <v>September</v>
      </c>
      <c r="D852" s="3" t="s">
        <v>864</v>
      </c>
      <c r="E852" s="3" t="s">
        <v>10</v>
      </c>
      <c r="F852" s="3">
        <v>32</v>
      </c>
      <c r="G852" s="8" t="str" cm="1">
        <f t="array" ref="G852">_xlfn.IFS(
    F852 &lt; 25, "Young",
    F852 &lt;= 40, "Mid-Age",
    F852 &gt; 40, "Old-Age"
)</f>
        <v>Mid-Age</v>
      </c>
      <c r="H852" s="3" t="s">
        <v>16</v>
      </c>
      <c r="I852" s="3">
        <v>2</v>
      </c>
      <c r="J852" s="3">
        <v>25</v>
      </c>
      <c r="K852" s="3">
        <v>50</v>
      </c>
      <c r="L852" s="3">
        <f t="shared" si="27"/>
        <v>1.093569643512903</v>
      </c>
    </row>
    <row r="853" spans="1:12" x14ac:dyDescent="0.3">
      <c r="A853" s="3">
        <v>852</v>
      </c>
      <c r="B853" s="4">
        <v>45211</v>
      </c>
      <c r="C853" s="9" t="str">
        <f t="shared" si="26"/>
        <v>October</v>
      </c>
      <c r="D853" s="3" t="s">
        <v>865</v>
      </c>
      <c r="E853" s="3" t="s">
        <v>13</v>
      </c>
      <c r="F853" s="3">
        <v>41</v>
      </c>
      <c r="G853" s="8" t="str" cm="1">
        <f t="array" ref="G853">_xlfn.IFS(
    F853 &lt; 25, "Young",
    F853 &lt;= 40, "Mid-Age",
    F853 &gt; 40, "Old-Age"
)</f>
        <v>Old-Age</v>
      </c>
      <c r="H853" s="3" t="s">
        <v>14</v>
      </c>
      <c r="I853" s="3">
        <v>1</v>
      </c>
      <c r="J853" s="3">
        <v>300</v>
      </c>
      <c r="K853" s="3">
        <v>300</v>
      </c>
      <c r="L853" s="3">
        <f t="shared" si="27"/>
        <v>1.0835142309338319</v>
      </c>
    </row>
    <row r="854" spans="1:12" x14ac:dyDescent="0.3">
      <c r="A854" s="3">
        <v>853</v>
      </c>
      <c r="B854" s="4">
        <v>45050</v>
      </c>
      <c r="C854" s="9" t="str">
        <f t="shared" si="26"/>
        <v>May</v>
      </c>
      <c r="D854" s="3" t="s">
        <v>866</v>
      </c>
      <c r="E854" s="3" t="s">
        <v>10</v>
      </c>
      <c r="F854" s="3">
        <v>21</v>
      </c>
      <c r="G854" s="8" t="str" cm="1">
        <f t="array" ref="G854">_xlfn.IFS(
    F854 &lt; 25, "Young",
    F854 &lt;= 40, "Mid-Age",
    F854 &gt; 40, "Old-Age"
)</f>
        <v>Young</v>
      </c>
      <c r="H854" s="3" t="s">
        <v>11</v>
      </c>
      <c r="I854" s="3">
        <v>2</v>
      </c>
      <c r="J854" s="3">
        <v>500</v>
      </c>
      <c r="K854" s="3">
        <v>1000</v>
      </c>
      <c r="L854" s="3">
        <f t="shared" si="27"/>
        <v>1.1011626405702892</v>
      </c>
    </row>
    <row r="855" spans="1:12" x14ac:dyDescent="0.3">
      <c r="A855" s="3">
        <v>854</v>
      </c>
      <c r="B855" s="4">
        <v>45280</v>
      </c>
      <c r="C855" s="9" t="str">
        <f t="shared" si="26"/>
        <v>December</v>
      </c>
      <c r="D855" s="3" t="s">
        <v>867</v>
      </c>
      <c r="E855" s="3" t="s">
        <v>10</v>
      </c>
      <c r="F855" s="3">
        <v>29</v>
      </c>
      <c r="G855" s="8" t="str" cm="1">
        <f t="array" ref="G855">_xlfn.IFS(
    F855 &lt; 25, "Young",
    F855 &lt;= 40, "Mid-Age",
    F855 &gt; 40, "Old-Age"
)</f>
        <v>Mid-Age</v>
      </c>
      <c r="H855" s="3" t="s">
        <v>14</v>
      </c>
      <c r="I855" s="3">
        <v>1</v>
      </c>
      <c r="J855" s="3">
        <v>50</v>
      </c>
      <c r="K855" s="3">
        <v>50</v>
      </c>
      <c r="L855" s="3">
        <f t="shared" si="27"/>
        <v>1.128997770707002</v>
      </c>
    </row>
    <row r="856" spans="1:12" x14ac:dyDescent="0.3">
      <c r="A856" s="3">
        <v>855</v>
      </c>
      <c r="B856" s="4">
        <v>45170</v>
      </c>
      <c r="C856" s="9" t="str">
        <f t="shared" si="26"/>
        <v>September</v>
      </c>
      <c r="D856" s="3" t="s">
        <v>868</v>
      </c>
      <c r="E856" s="3" t="s">
        <v>10</v>
      </c>
      <c r="F856" s="3">
        <v>54</v>
      </c>
      <c r="G856" s="8" t="str" cm="1">
        <f t="array" ref="G856">_xlfn.IFS(
    F856 &lt; 25, "Young",
    F856 &lt;= 40, "Mid-Age",
    F856 &gt; 40, "Old-Age"
)</f>
        <v>Old-Age</v>
      </c>
      <c r="H856" s="3" t="s">
        <v>11</v>
      </c>
      <c r="I856" s="3">
        <v>1</v>
      </c>
      <c r="J856" s="3">
        <v>25</v>
      </c>
      <c r="K856" s="3">
        <v>25</v>
      </c>
      <c r="L856" s="3">
        <f t="shared" si="27"/>
        <v>1.1184851831929865</v>
      </c>
    </row>
    <row r="857" spans="1:12" x14ac:dyDescent="0.3">
      <c r="A857" s="3">
        <v>856</v>
      </c>
      <c r="B857" s="4">
        <v>45257</v>
      </c>
      <c r="C857" s="9" t="str">
        <f t="shared" si="26"/>
        <v>November</v>
      </c>
      <c r="D857" s="3" t="s">
        <v>869</v>
      </c>
      <c r="E857" s="3" t="s">
        <v>10</v>
      </c>
      <c r="F857" s="3">
        <v>54</v>
      </c>
      <c r="G857" s="8" t="str" cm="1">
        <f t="array" ref="G857">_xlfn.IFS(
    F857 &lt; 25, "Young",
    F857 &lt;= 40, "Mid-Age",
    F857 &gt; 40, "Old-Age"
)</f>
        <v>Old-Age</v>
      </c>
      <c r="H857" s="3" t="s">
        <v>16</v>
      </c>
      <c r="I857" s="3">
        <v>4</v>
      </c>
      <c r="J857" s="3">
        <v>30</v>
      </c>
      <c r="K857" s="3">
        <v>120</v>
      </c>
      <c r="L857" s="3">
        <f t="shared" si="27"/>
        <v>1.1081561665971111</v>
      </c>
    </row>
    <row r="858" spans="1:12" x14ac:dyDescent="0.3">
      <c r="A858" s="3">
        <v>857</v>
      </c>
      <c r="B858" s="4">
        <v>45291</v>
      </c>
      <c r="C858" s="9" t="str">
        <f t="shared" si="26"/>
        <v>December</v>
      </c>
      <c r="D858" s="3" t="s">
        <v>870</v>
      </c>
      <c r="E858" s="3" t="s">
        <v>10</v>
      </c>
      <c r="F858" s="3">
        <v>60</v>
      </c>
      <c r="G858" s="8" t="str" cm="1">
        <f t="array" ref="G858">_xlfn.IFS(
    F858 &lt; 25, "Young",
    F858 &lt;= 40, "Mid-Age",
    F858 &gt; 40, "Old-Age"
)</f>
        <v>Old-Age</v>
      </c>
      <c r="H858" s="3" t="s">
        <v>16</v>
      </c>
      <c r="I858" s="3">
        <v>2</v>
      </c>
      <c r="J858" s="3">
        <v>25</v>
      </c>
      <c r="K858" s="3">
        <v>50</v>
      </c>
      <c r="L858" s="3">
        <f t="shared" si="27"/>
        <v>1.0976219945822439</v>
      </c>
    </row>
    <row r="859" spans="1:12" x14ac:dyDescent="0.3">
      <c r="A859" s="3">
        <v>858</v>
      </c>
      <c r="B859" s="4">
        <v>45178</v>
      </c>
      <c r="C859" s="9" t="str">
        <f t="shared" si="26"/>
        <v>September</v>
      </c>
      <c r="D859" s="3" t="s">
        <v>871</v>
      </c>
      <c r="E859" s="3" t="s">
        <v>10</v>
      </c>
      <c r="F859" s="3">
        <v>23</v>
      </c>
      <c r="G859" s="8" t="str" cm="1">
        <f t="array" ref="G859">_xlfn.IFS(
    F859 &lt; 25, "Young",
    F859 &lt;= 40, "Mid-Age",
    F859 &gt; 40, "Old-Age"
)</f>
        <v>Young</v>
      </c>
      <c r="H859" s="3" t="s">
        <v>16</v>
      </c>
      <c r="I859" s="3">
        <v>2</v>
      </c>
      <c r="J859" s="3">
        <v>50</v>
      </c>
      <c r="K859" s="3">
        <v>100</v>
      </c>
      <c r="L859" s="3">
        <f t="shared" si="27"/>
        <v>1.0871500553440983</v>
      </c>
    </row>
    <row r="860" spans="1:12" x14ac:dyDescent="0.3">
      <c r="A860" s="3">
        <v>859</v>
      </c>
      <c r="B860" s="4">
        <v>45156</v>
      </c>
      <c r="C860" s="9" t="str">
        <f t="shared" si="26"/>
        <v>August</v>
      </c>
      <c r="D860" s="3" t="s">
        <v>872</v>
      </c>
      <c r="E860" s="3" t="s">
        <v>13</v>
      </c>
      <c r="F860" s="3">
        <v>56</v>
      </c>
      <c r="G860" s="8" t="str" cm="1">
        <f t="array" ref="G860">_xlfn.IFS(
    F860 &lt; 25, "Young",
    F860 &lt;= 40, "Mid-Age",
    F860 &gt; 40, "Old-Age"
)</f>
        <v>Old-Age</v>
      </c>
      <c r="H860" s="3" t="s">
        <v>16</v>
      </c>
      <c r="I860" s="3">
        <v>3</v>
      </c>
      <c r="J860" s="3">
        <v>500</v>
      </c>
      <c r="K860" s="3">
        <v>1500</v>
      </c>
      <c r="L860" s="3">
        <f t="shared" si="27"/>
        <v>1.0763248817407967</v>
      </c>
    </row>
    <row r="861" spans="1:12" x14ac:dyDescent="0.3">
      <c r="A861" s="3">
        <v>860</v>
      </c>
      <c r="B861" s="4">
        <v>44935</v>
      </c>
      <c r="C861" s="9" t="str">
        <f t="shared" si="26"/>
        <v>January</v>
      </c>
      <c r="D861" s="3" t="s">
        <v>873</v>
      </c>
      <c r="E861" s="3" t="s">
        <v>10</v>
      </c>
      <c r="F861" s="3">
        <v>63</v>
      </c>
      <c r="G861" s="8" t="str" cm="1">
        <f t="array" ref="G861">_xlfn.IFS(
    F861 &lt; 25, "Young",
    F861 &lt;= 40, "Mid-Age",
    F861 &gt; 40, "Old-Age"
)</f>
        <v>Old-Age</v>
      </c>
      <c r="H861" s="3" t="s">
        <v>14</v>
      </c>
      <c r="I861" s="3">
        <v>4</v>
      </c>
      <c r="J861" s="3">
        <v>50</v>
      </c>
      <c r="K861" s="3">
        <v>200</v>
      </c>
      <c r="L861" s="3">
        <f t="shared" si="27"/>
        <v>1.104509724181518</v>
      </c>
    </row>
    <row r="862" spans="1:12" x14ac:dyDescent="0.3">
      <c r="A862" s="3">
        <v>861</v>
      </c>
      <c r="B862" s="4">
        <v>44974</v>
      </c>
      <c r="C862" s="9" t="str">
        <f t="shared" si="26"/>
        <v>February</v>
      </c>
      <c r="D862" s="3" t="s">
        <v>874</v>
      </c>
      <c r="E862" s="3" t="s">
        <v>13</v>
      </c>
      <c r="F862" s="3">
        <v>41</v>
      </c>
      <c r="G862" s="8" t="str" cm="1">
        <f t="array" ref="G862">_xlfn.IFS(
    F862 &lt; 25, "Young",
    F862 &lt;= 40, "Mid-Age",
    F862 &gt; 40, "Old-Age"
)</f>
        <v>Old-Age</v>
      </c>
      <c r="H862" s="3" t="s">
        <v>14</v>
      </c>
      <c r="I862" s="3">
        <v>3</v>
      </c>
      <c r="J862" s="3">
        <v>30</v>
      </c>
      <c r="K862" s="3">
        <v>90</v>
      </c>
      <c r="L862" s="3">
        <f t="shared" si="27"/>
        <v>1.0935372539115726</v>
      </c>
    </row>
    <row r="863" spans="1:12" x14ac:dyDescent="0.3">
      <c r="A863" s="3">
        <v>862</v>
      </c>
      <c r="B863" s="4">
        <v>45077</v>
      </c>
      <c r="C863" s="9" t="str">
        <f t="shared" si="26"/>
        <v>May</v>
      </c>
      <c r="D863" s="3" t="s">
        <v>875</v>
      </c>
      <c r="E863" s="3" t="s">
        <v>10</v>
      </c>
      <c r="F863" s="3">
        <v>28</v>
      </c>
      <c r="G863" s="8" t="str" cm="1">
        <f t="array" ref="G863">_xlfn.IFS(
    F863 &lt; 25, "Young",
    F863 &lt;= 40, "Mid-Age",
    F863 &gt; 40, "Old-Age"
)</f>
        <v>Mid-Age</v>
      </c>
      <c r="H863" s="3" t="s">
        <v>16</v>
      </c>
      <c r="I863" s="3">
        <v>4</v>
      </c>
      <c r="J863" s="3">
        <v>300</v>
      </c>
      <c r="K863" s="3">
        <v>1200</v>
      </c>
      <c r="L863" s="3">
        <f t="shared" si="27"/>
        <v>1.0826235073553365</v>
      </c>
    </row>
    <row r="864" spans="1:12" x14ac:dyDescent="0.3">
      <c r="A864" s="3">
        <v>863</v>
      </c>
      <c r="B864" s="4">
        <v>45040</v>
      </c>
      <c r="C864" s="9" t="str">
        <f t="shared" si="26"/>
        <v>April</v>
      </c>
      <c r="D864" s="3" t="s">
        <v>876</v>
      </c>
      <c r="E864" s="3" t="s">
        <v>13</v>
      </c>
      <c r="F864" s="3">
        <v>30</v>
      </c>
      <c r="G864" s="8" t="str" cm="1">
        <f t="array" ref="G864">_xlfn.IFS(
    F864 &lt; 25, "Young",
    F864 &lt;= 40, "Mid-Age",
    F864 &gt; 40, "Old-Age"
)</f>
        <v>Mid-Age</v>
      </c>
      <c r="H864" s="3" t="s">
        <v>16</v>
      </c>
      <c r="I864" s="3">
        <v>2</v>
      </c>
      <c r="J864" s="3">
        <v>25</v>
      </c>
      <c r="K864" s="3">
        <v>50</v>
      </c>
      <c r="L864" s="3">
        <f t="shared" si="27"/>
        <v>1.1017554321605276</v>
      </c>
    </row>
    <row r="865" spans="1:12" x14ac:dyDescent="0.3">
      <c r="A865" s="3">
        <v>864</v>
      </c>
      <c r="B865" s="4">
        <v>45134</v>
      </c>
      <c r="C865" s="9" t="str">
        <f t="shared" si="26"/>
        <v>July</v>
      </c>
      <c r="D865" s="3" t="s">
        <v>877</v>
      </c>
      <c r="E865" s="3" t="s">
        <v>13</v>
      </c>
      <c r="F865" s="3">
        <v>51</v>
      </c>
      <c r="G865" s="8" t="str" cm="1">
        <f t="array" ref="G865">_xlfn.IFS(
    F865 &lt; 25, "Young",
    F865 &lt;= 40, "Mid-Age",
    F865 &gt; 40, "Old-Age"
)</f>
        <v>Old-Age</v>
      </c>
      <c r="H865" s="3" t="s">
        <v>16</v>
      </c>
      <c r="I865" s="3">
        <v>1</v>
      </c>
      <c r="J865" s="3">
        <v>500</v>
      </c>
      <c r="K865" s="3">
        <v>500</v>
      </c>
      <c r="L865" s="3">
        <f t="shared" si="27"/>
        <v>1.0908218322558794</v>
      </c>
    </row>
    <row r="866" spans="1:12" x14ac:dyDescent="0.3">
      <c r="A866" s="3">
        <v>865</v>
      </c>
      <c r="B866" s="4">
        <v>45281</v>
      </c>
      <c r="C866" s="9" t="str">
        <f t="shared" si="26"/>
        <v>December</v>
      </c>
      <c r="D866" s="3" t="s">
        <v>878</v>
      </c>
      <c r="E866" s="3" t="s">
        <v>13</v>
      </c>
      <c r="F866" s="3">
        <v>42</v>
      </c>
      <c r="G866" s="8" t="str" cm="1">
        <f t="array" ref="G866">_xlfn.IFS(
    F866 &lt; 25, "Young",
    F866 &lt;= 40, "Mid-Age",
    F866 &gt; 40, "Old-Age"
)</f>
        <v>Old-Age</v>
      </c>
      <c r="H866" s="3" t="s">
        <v>14</v>
      </c>
      <c r="I866" s="3">
        <v>1</v>
      </c>
      <c r="J866" s="3">
        <v>300</v>
      </c>
      <c r="K866" s="3">
        <v>300</v>
      </c>
      <c r="L866" s="3">
        <f t="shared" si="27"/>
        <v>1.120385737820343</v>
      </c>
    </row>
    <row r="867" spans="1:12" x14ac:dyDescent="0.3">
      <c r="A867" s="3">
        <v>866</v>
      </c>
      <c r="B867" s="4">
        <v>45051</v>
      </c>
      <c r="C867" s="9" t="str">
        <f t="shared" si="26"/>
        <v>May</v>
      </c>
      <c r="D867" s="3" t="s">
        <v>879</v>
      </c>
      <c r="E867" s="3" t="s">
        <v>10</v>
      </c>
      <c r="F867" s="3">
        <v>24</v>
      </c>
      <c r="G867" s="8" t="str" cm="1">
        <f t="array" ref="G867">_xlfn.IFS(
    F867 &lt; 25, "Young",
    F867 &lt;= 40, "Mid-Age",
    F867 &gt; 40, "Old-Age"
)</f>
        <v>Young</v>
      </c>
      <c r="H867" s="3" t="s">
        <v>16</v>
      </c>
      <c r="I867" s="3">
        <v>1</v>
      </c>
      <c r="J867" s="3">
        <v>50</v>
      </c>
      <c r="K867" s="3">
        <v>50</v>
      </c>
      <c r="L867" s="3">
        <f t="shared" si="27"/>
        <v>1.1407602702527029</v>
      </c>
    </row>
    <row r="868" spans="1:12" x14ac:dyDescent="0.3">
      <c r="A868" s="3">
        <v>867</v>
      </c>
      <c r="B868" s="4">
        <v>45083</v>
      </c>
      <c r="C868" s="9" t="str">
        <f t="shared" si="26"/>
        <v>June</v>
      </c>
      <c r="D868" s="3" t="s">
        <v>880</v>
      </c>
      <c r="E868" s="3" t="s">
        <v>10</v>
      </c>
      <c r="F868" s="3">
        <v>21</v>
      </c>
      <c r="G868" s="8" t="str" cm="1">
        <f t="array" ref="G868">_xlfn.IFS(
    F868 &lt; 25, "Young",
    F868 &lt;= 40, "Mid-Age",
    F868 &gt; 40, "Old-Age"
)</f>
        <v>Young</v>
      </c>
      <c r="H868" s="3" t="s">
        <v>16</v>
      </c>
      <c r="I868" s="3">
        <v>1</v>
      </c>
      <c r="J868" s="3">
        <v>500</v>
      </c>
      <c r="K868" s="3">
        <v>500</v>
      </c>
      <c r="L868" s="3">
        <f t="shared" si="27"/>
        <v>1.1293104724718077</v>
      </c>
    </row>
    <row r="869" spans="1:12" x14ac:dyDescent="0.3">
      <c r="A869" s="3">
        <v>868</v>
      </c>
      <c r="B869" s="4">
        <v>45266</v>
      </c>
      <c r="C869" s="9" t="str">
        <f t="shared" si="26"/>
        <v>December</v>
      </c>
      <c r="D869" s="3" t="s">
        <v>881</v>
      </c>
      <c r="E869" s="3" t="s">
        <v>13</v>
      </c>
      <c r="F869" s="3">
        <v>25</v>
      </c>
      <c r="G869" s="8" t="str" cm="1">
        <f t="array" ref="G869">_xlfn.IFS(
    F869 &lt; 25, "Young",
    F869 &lt;= 40, "Mid-Age",
    F869 &gt; 40, "Old-Age"
)</f>
        <v>Mid-Age</v>
      </c>
      <c r="H869" s="3" t="s">
        <v>16</v>
      </c>
      <c r="I869" s="3">
        <v>1</v>
      </c>
      <c r="J869" s="3">
        <v>300</v>
      </c>
      <c r="K869" s="3">
        <v>300</v>
      </c>
      <c r="L869" s="3">
        <f t="shared" si="27"/>
        <v>1.1605445456055297</v>
      </c>
    </row>
    <row r="870" spans="1:12" x14ac:dyDescent="0.3">
      <c r="A870" s="3">
        <v>869</v>
      </c>
      <c r="B870" s="4">
        <v>45224</v>
      </c>
      <c r="C870" s="9" t="str">
        <f t="shared" si="26"/>
        <v>October</v>
      </c>
      <c r="D870" s="3" t="s">
        <v>882</v>
      </c>
      <c r="E870" s="3" t="s">
        <v>10</v>
      </c>
      <c r="F870" s="3">
        <v>37</v>
      </c>
      <c r="G870" s="8" t="str" cm="1">
        <f t="array" ref="G870">_xlfn.IFS(
    F870 &lt; 25, "Young",
    F870 &lt;= 40, "Mid-Age",
    F870 &gt; 40, "Old-Age"
)</f>
        <v>Mid-Age</v>
      </c>
      <c r="H870" s="3" t="s">
        <v>11</v>
      </c>
      <c r="I870" s="3">
        <v>3</v>
      </c>
      <c r="J870" s="3">
        <v>500</v>
      </c>
      <c r="K870" s="3">
        <v>1500</v>
      </c>
      <c r="L870" s="3">
        <f t="shared" si="27"/>
        <v>1.1823249851391118</v>
      </c>
    </row>
    <row r="871" spans="1:12" x14ac:dyDescent="0.3">
      <c r="A871" s="3">
        <v>870</v>
      </c>
      <c r="B871" s="4">
        <v>45115</v>
      </c>
      <c r="C871" s="9" t="str">
        <f t="shared" si="26"/>
        <v>July</v>
      </c>
      <c r="D871" s="3" t="s">
        <v>883</v>
      </c>
      <c r="E871" s="3" t="s">
        <v>13</v>
      </c>
      <c r="F871" s="3">
        <v>46</v>
      </c>
      <c r="G871" s="8" t="str" cm="1">
        <f t="array" ref="G871">_xlfn.IFS(
    F871 &lt; 25, "Young",
    F871 &lt;= 40, "Mid-Age",
    F871 &gt; 40, "Old-Age"
)</f>
        <v>Old-Age</v>
      </c>
      <c r="H871" s="3" t="s">
        <v>16</v>
      </c>
      <c r="I871" s="3">
        <v>4</v>
      </c>
      <c r="J871" s="3">
        <v>30</v>
      </c>
      <c r="K871" s="3">
        <v>120</v>
      </c>
      <c r="L871" s="3">
        <f t="shared" si="27"/>
        <v>1.2155094284286816</v>
      </c>
    </row>
    <row r="872" spans="1:12" x14ac:dyDescent="0.3">
      <c r="A872" s="3">
        <v>871</v>
      </c>
      <c r="B872" s="4">
        <v>45169</v>
      </c>
      <c r="C872" s="9" t="str">
        <f t="shared" si="26"/>
        <v>August</v>
      </c>
      <c r="D872" s="3" t="s">
        <v>884</v>
      </c>
      <c r="E872" s="3" t="s">
        <v>10</v>
      </c>
      <c r="F872" s="3">
        <v>62</v>
      </c>
      <c r="G872" s="8" t="str" cm="1">
        <f t="array" ref="G872">_xlfn.IFS(
    F872 &lt; 25, "Young",
    F872 &lt;= 40, "Mid-Age",
    F872 &gt; 40, "Old-Age"
)</f>
        <v>Old-Age</v>
      </c>
      <c r="H872" s="3" t="s">
        <v>11</v>
      </c>
      <c r="I872" s="3">
        <v>2</v>
      </c>
      <c r="J872" s="3">
        <v>30</v>
      </c>
      <c r="K872" s="3">
        <v>60</v>
      </c>
      <c r="L872" s="3">
        <f t="shared" si="27"/>
        <v>1.2038484344229687</v>
      </c>
    </row>
    <row r="873" spans="1:12" x14ac:dyDescent="0.3">
      <c r="A873" s="3">
        <v>872</v>
      </c>
      <c r="B873" s="4">
        <v>45210</v>
      </c>
      <c r="C873" s="9" t="str">
        <f t="shared" si="26"/>
        <v>October</v>
      </c>
      <c r="D873" s="3" t="s">
        <v>885</v>
      </c>
      <c r="E873" s="3" t="s">
        <v>13</v>
      </c>
      <c r="F873" s="3">
        <v>63</v>
      </c>
      <c r="G873" s="8" t="str" cm="1">
        <f t="array" ref="G873">_xlfn.IFS(
    F873 &lt; 25, "Young",
    F873 &lt;= 40, "Mid-Age",
    F873 &gt; 40, "Old-Age"
)</f>
        <v>Old-Age</v>
      </c>
      <c r="H873" s="3" t="s">
        <v>11</v>
      </c>
      <c r="I873" s="3">
        <v>3</v>
      </c>
      <c r="J873" s="3">
        <v>25</v>
      </c>
      <c r="K873" s="3">
        <v>75</v>
      </c>
      <c r="L873" s="3">
        <f t="shared" si="27"/>
        <v>1.1921000415278016</v>
      </c>
    </row>
    <row r="874" spans="1:12" x14ac:dyDescent="0.3">
      <c r="A874" s="3">
        <v>873</v>
      </c>
      <c r="B874" s="4">
        <v>45198</v>
      </c>
      <c r="C874" s="9" t="str">
        <f t="shared" si="26"/>
        <v>September</v>
      </c>
      <c r="D874" s="3" t="s">
        <v>886</v>
      </c>
      <c r="E874" s="3" t="s">
        <v>13</v>
      </c>
      <c r="F874" s="3">
        <v>27</v>
      </c>
      <c r="G874" s="8" t="str" cm="1">
        <f t="array" ref="G874">_xlfn.IFS(
    F874 &lt; 25, "Young",
    F874 &lt;= 40, "Mid-Age",
    F874 &gt; 40, "Old-Age"
)</f>
        <v>Mid-Age</v>
      </c>
      <c r="H874" s="3" t="s">
        <v>16</v>
      </c>
      <c r="I874" s="3">
        <v>4</v>
      </c>
      <c r="J874" s="3">
        <v>25</v>
      </c>
      <c r="K874" s="3">
        <v>100</v>
      </c>
      <c r="L874" s="3">
        <f t="shared" si="27"/>
        <v>1.1804201380932819</v>
      </c>
    </row>
    <row r="875" spans="1:12" x14ac:dyDescent="0.3">
      <c r="A875" s="3">
        <v>874</v>
      </c>
      <c r="B875" s="4">
        <v>45103</v>
      </c>
      <c r="C875" s="9" t="str">
        <f t="shared" si="26"/>
        <v>June</v>
      </c>
      <c r="D875" s="3" t="s">
        <v>887</v>
      </c>
      <c r="E875" s="3" t="s">
        <v>10</v>
      </c>
      <c r="F875" s="3">
        <v>60</v>
      </c>
      <c r="G875" s="8" t="str" cm="1">
        <f t="array" ref="G875">_xlfn.IFS(
    F875 &lt; 25, "Young",
    F875 &lt;= 40, "Mid-Age",
    F875 &gt; 40, "Old-Age"
)</f>
        <v>Old-Age</v>
      </c>
      <c r="H875" s="3" t="s">
        <v>11</v>
      </c>
      <c r="I875" s="3">
        <v>1</v>
      </c>
      <c r="J875" s="3">
        <v>30</v>
      </c>
      <c r="K875" s="3">
        <v>30</v>
      </c>
      <c r="L875" s="3">
        <f t="shared" si="27"/>
        <v>1.1686533583910783</v>
      </c>
    </row>
    <row r="876" spans="1:12" x14ac:dyDescent="0.3">
      <c r="A876" s="3">
        <v>875</v>
      </c>
      <c r="B876" s="4">
        <v>45144</v>
      </c>
      <c r="C876" s="9" t="str">
        <f t="shared" si="26"/>
        <v>August</v>
      </c>
      <c r="D876" s="3" t="s">
        <v>888</v>
      </c>
      <c r="E876" s="3" t="s">
        <v>13</v>
      </c>
      <c r="F876" s="3">
        <v>51</v>
      </c>
      <c r="G876" s="8" t="str" cm="1">
        <f t="array" ref="G876">_xlfn.IFS(
    F876 &lt; 25, "Young",
    F876 &lt;= 40, "Mid-Age",
    F876 &gt; 40, "Old-Age"
)</f>
        <v>Old-Age</v>
      </c>
      <c r="H876" s="3" t="s">
        <v>16</v>
      </c>
      <c r="I876" s="3">
        <v>4</v>
      </c>
      <c r="J876" s="3">
        <v>500</v>
      </c>
      <c r="K876" s="3">
        <v>2000</v>
      </c>
      <c r="L876" s="3">
        <f t="shared" si="27"/>
        <v>1.1566355478063621</v>
      </c>
    </row>
    <row r="877" spans="1:12" x14ac:dyDescent="0.3">
      <c r="A877" s="3">
        <v>876</v>
      </c>
      <c r="B877" s="4">
        <v>45208</v>
      </c>
      <c r="C877" s="9" t="str">
        <f t="shared" si="26"/>
        <v>October</v>
      </c>
      <c r="D877" s="3" t="s">
        <v>889</v>
      </c>
      <c r="E877" s="3" t="s">
        <v>10</v>
      </c>
      <c r="F877" s="3">
        <v>43</v>
      </c>
      <c r="G877" s="8" t="str" cm="1">
        <f t="array" ref="G877">_xlfn.IFS(
    F877 &lt; 25, "Young",
    F877 &lt;= 40, "Mid-Age",
    F877 &gt; 40, "Old-Age"
)</f>
        <v>Old-Age</v>
      </c>
      <c r="H877" s="3" t="s">
        <v>14</v>
      </c>
      <c r="I877" s="3">
        <v>4</v>
      </c>
      <c r="J877" s="3">
        <v>30</v>
      </c>
      <c r="K877" s="3">
        <v>120</v>
      </c>
      <c r="L877" s="3">
        <f t="shared" si="27"/>
        <v>1.1902723453470161</v>
      </c>
    </row>
    <row r="878" spans="1:12" x14ac:dyDescent="0.3">
      <c r="A878" s="3">
        <v>877</v>
      </c>
      <c r="B878" s="4">
        <v>45096</v>
      </c>
      <c r="C878" s="9" t="str">
        <f t="shared" si="26"/>
        <v>June</v>
      </c>
      <c r="D878" s="3" t="s">
        <v>890</v>
      </c>
      <c r="E878" s="3" t="s">
        <v>13</v>
      </c>
      <c r="F878" s="3">
        <v>58</v>
      </c>
      <c r="G878" s="8" t="str" cm="1">
        <f t="array" ref="G878">_xlfn.IFS(
    F878 &lt; 25, "Young",
    F878 &lt;= 40, "Mid-Age",
    F878 &gt; 40, "Old-Age"
)</f>
        <v>Old-Age</v>
      </c>
      <c r="H878" s="3" t="s">
        <v>14</v>
      </c>
      <c r="I878" s="3">
        <v>1</v>
      </c>
      <c r="J878" s="3">
        <v>25</v>
      </c>
      <c r="K878" s="3">
        <v>25</v>
      </c>
      <c r="L878" s="3">
        <f t="shared" si="27"/>
        <v>1.1780692767911671</v>
      </c>
    </row>
    <row r="879" spans="1:12" x14ac:dyDescent="0.3">
      <c r="A879" s="3">
        <v>878</v>
      </c>
      <c r="B879" s="4">
        <v>45107</v>
      </c>
      <c r="C879" s="9" t="str">
        <f t="shared" si="26"/>
        <v>June</v>
      </c>
      <c r="D879" s="3" t="s">
        <v>891</v>
      </c>
      <c r="E879" s="3" t="s">
        <v>13</v>
      </c>
      <c r="F879" s="3">
        <v>20</v>
      </c>
      <c r="G879" s="8" t="str" cm="1">
        <f t="array" ref="G879">_xlfn.IFS(
    F879 &lt; 25, "Young",
    F879 &lt;= 40, "Mid-Age",
    F879 &gt; 40, "Old-Age"
)</f>
        <v>Young</v>
      </c>
      <c r="H879" s="3" t="s">
        <v>14</v>
      </c>
      <c r="I879" s="3">
        <v>1</v>
      </c>
      <c r="J879" s="3">
        <v>30</v>
      </c>
      <c r="K879" s="3">
        <v>30</v>
      </c>
      <c r="L879" s="3">
        <f t="shared" si="27"/>
        <v>1.1659416213487401</v>
      </c>
    </row>
    <row r="880" spans="1:12" x14ac:dyDescent="0.3">
      <c r="A880" s="3">
        <v>879</v>
      </c>
      <c r="B880" s="4">
        <v>45286</v>
      </c>
      <c r="C880" s="9" t="str">
        <f t="shared" si="26"/>
        <v>December</v>
      </c>
      <c r="D880" s="3" t="s">
        <v>892</v>
      </c>
      <c r="E880" s="3" t="s">
        <v>10</v>
      </c>
      <c r="F880" s="3">
        <v>23</v>
      </c>
      <c r="G880" s="8" t="str" cm="1">
        <f t="array" ref="G880">_xlfn.IFS(
    F880 &lt; 25, "Young",
    F880 &lt;= 40, "Mid-Age",
    F880 &gt; 40, "Old-Age"
)</f>
        <v>Young</v>
      </c>
      <c r="H880" s="3" t="s">
        <v>14</v>
      </c>
      <c r="I880" s="3">
        <v>1</v>
      </c>
      <c r="J880" s="3">
        <v>30</v>
      </c>
      <c r="K880" s="3">
        <v>30</v>
      </c>
      <c r="L880" s="3">
        <f t="shared" si="27"/>
        <v>1.1535451523051592</v>
      </c>
    </row>
    <row r="881" spans="1:12" x14ac:dyDescent="0.3">
      <c r="A881" s="3">
        <v>880</v>
      </c>
      <c r="B881" s="4">
        <v>45159</v>
      </c>
      <c r="C881" s="9" t="str">
        <f t="shared" si="26"/>
        <v>August</v>
      </c>
      <c r="D881" s="3" t="s">
        <v>893</v>
      </c>
      <c r="E881" s="3" t="s">
        <v>10</v>
      </c>
      <c r="F881" s="3">
        <v>22</v>
      </c>
      <c r="G881" s="8" t="str" cm="1">
        <f t="array" ref="G881">_xlfn.IFS(
    F881 &lt; 25, "Young",
    F881 &lt;= 40, "Mid-Age",
    F881 &gt; 40, "Old-Age"
)</f>
        <v>Young</v>
      </c>
      <c r="H881" s="3" t="s">
        <v>11</v>
      </c>
      <c r="I881" s="3">
        <v>2</v>
      </c>
      <c r="J881" s="3">
        <v>500</v>
      </c>
      <c r="K881" s="3">
        <v>1000</v>
      </c>
      <c r="L881" s="3">
        <f t="shared" si="27"/>
        <v>1.1410479279081456</v>
      </c>
    </row>
    <row r="882" spans="1:12" x14ac:dyDescent="0.3">
      <c r="A882" s="3">
        <v>881</v>
      </c>
      <c r="B882" s="4">
        <v>45065</v>
      </c>
      <c r="C882" s="9" t="str">
        <f t="shared" si="26"/>
        <v>May</v>
      </c>
      <c r="D882" s="3" t="s">
        <v>894</v>
      </c>
      <c r="E882" s="3" t="s">
        <v>10</v>
      </c>
      <c r="F882" s="3">
        <v>22</v>
      </c>
      <c r="G882" s="8" t="str" cm="1">
        <f t="array" ref="G882">_xlfn.IFS(
    F882 &lt; 25, "Young",
    F882 &lt;= 40, "Mid-Age",
    F882 &gt; 40, "Old-Age"
)</f>
        <v>Young</v>
      </c>
      <c r="H882" s="3" t="s">
        <v>16</v>
      </c>
      <c r="I882" s="3">
        <v>1</v>
      </c>
      <c r="J882" s="3">
        <v>300</v>
      </c>
      <c r="K882" s="3">
        <v>300</v>
      </c>
      <c r="L882" s="3">
        <f t="shared" si="27"/>
        <v>1.1751707056752001</v>
      </c>
    </row>
    <row r="883" spans="1:12" x14ac:dyDescent="0.3">
      <c r="A883" s="3">
        <v>882</v>
      </c>
      <c r="B883" s="4">
        <v>45083</v>
      </c>
      <c r="C883" s="9" t="str">
        <f t="shared" si="26"/>
        <v>June</v>
      </c>
      <c r="D883" s="3" t="s">
        <v>895</v>
      </c>
      <c r="E883" s="3" t="s">
        <v>13</v>
      </c>
      <c r="F883" s="3">
        <v>64</v>
      </c>
      <c r="G883" s="8" t="str" cm="1">
        <f t="array" ref="G883">_xlfn.IFS(
    F883 &lt; 25, "Young",
    F883 &lt;= 40, "Mid-Age",
    F883 &gt; 40, "Old-Age"
)</f>
        <v>Old-Age</v>
      </c>
      <c r="H883" s="3" t="s">
        <v>16</v>
      </c>
      <c r="I883" s="3">
        <v>2</v>
      </c>
      <c r="J883" s="3">
        <v>25</v>
      </c>
      <c r="K883" s="3">
        <v>50</v>
      </c>
      <c r="L883" s="3">
        <f t="shared" si="27"/>
        <v>1.2003374546943479</v>
      </c>
    </row>
    <row r="884" spans="1:12" x14ac:dyDescent="0.3">
      <c r="A884" s="3">
        <v>883</v>
      </c>
      <c r="B884" s="4">
        <v>45055</v>
      </c>
      <c r="C884" s="9" t="str">
        <f t="shared" si="26"/>
        <v>May</v>
      </c>
      <c r="D884" s="3" t="s">
        <v>896</v>
      </c>
      <c r="E884" s="3" t="s">
        <v>10</v>
      </c>
      <c r="F884" s="3">
        <v>40</v>
      </c>
      <c r="G884" s="8" t="str" cm="1">
        <f t="array" ref="G884">_xlfn.IFS(
    F884 &lt; 25, "Young",
    F884 &lt;= 40, "Mid-Age",
    F884 &gt; 40, "Old-Age"
)</f>
        <v>Mid-Age</v>
      </c>
      <c r="H884" s="3" t="s">
        <v>16</v>
      </c>
      <c r="I884" s="3">
        <v>1</v>
      </c>
      <c r="J884" s="3">
        <v>500</v>
      </c>
      <c r="K884" s="3">
        <v>500</v>
      </c>
      <c r="L884" s="3">
        <f t="shared" si="27"/>
        <v>1.1877095615793991</v>
      </c>
    </row>
    <row r="885" spans="1:12" x14ac:dyDescent="0.3">
      <c r="A885" s="3">
        <v>884</v>
      </c>
      <c r="B885" s="4">
        <v>45045</v>
      </c>
      <c r="C885" s="9" t="str">
        <f t="shared" si="26"/>
        <v>April</v>
      </c>
      <c r="D885" s="3" t="s">
        <v>897</v>
      </c>
      <c r="E885" s="3" t="s">
        <v>13</v>
      </c>
      <c r="F885" s="3">
        <v>26</v>
      </c>
      <c r="G885" s="8" t="str" cm="1">
        <f t="array" ref="G885">_xlfn.IFS(
    F885 &lt; 25, "Young",
    F885 &lt;= 40, "Mid-Age",
    F885 &gt; 40, "Old-Age"
)</f>
        <v>Mid-Age</v>
      </c>
      <c r="H885" s="3" t="s">
        <v>14</v>
      </c>
      <c r="I885" s="3">
        <v>2</v>
      </c>
      <c r="J885" s="3">
        <v>30</v>
      </c>
      <c r="K885" s="3">
        <v>60</v>
      </c>
      <c r="L885" s="3">
        <f t="shared" si="27"/>
        <v>1.2240524029059028</v>
      </c>
    </row>
    <row r="886" spans="1:12" x14ac:dyDescent="0.3">
      <c r="A886" s="3">
        <v>885</v>
      </c>
      <c r="B886" s="4">
        <v>44988</v>
      </c>
      <c r="C886" s="9" t="str">
        <f t="shared" si="26"/>
        <v>March</v>
      </c>
      <c r="D886" s="3" t="s">
        <v>898</v>
      </c>
      <c r="E886" s="3" t="s">
        <v>13</v>
      </c>
      <c r="F886" s="3">
        <v>52</v>
      </c>
      <c r="G886" s="8" t="str" cm="1">
        <f t="array" ref="G886">_xlfn.IFS(
    F886 &lt; 25, "Young",
    F886 &lt;= 40, "Mid-Age",
    F886 &gt; 40, "Old-Age"
)</f>
        <v>Old-Age</v>
      </c>
      <c r="H886" s="3" t="s">
        <v>14</v>
      </c>
      <c r="I886" s="3">
        <v>4</v>
      </c>
      <c r="J886" s="3">
        <v>30</v>
      </c>
      <c r="K886" s="3">
        <v>120</v>
      </c>
      <c r="L886" s="3">
        <f t="shared" si="27"/>
        <v>1.2110300299858414</v>
      </c>
    </row>
    <row r="887" spans="1:12" x14ac:dyDescent="0.3">
      <c r="A887" s="3">
        <v>886</v>
      </c>
      <c r="B887" s="4">
        <v>45025</v>
      </c>
      <c r="C887" s="9" t="str">
        <f t="shared" si="26"/>
        <v>April</v>
      </c>
      <c r="D887" s="3" t="s">
        <v>899</v>
      </c>
      <c r="E887" s="3" t="s">
        <v>10</v>
      </c>
      <c r="F887" s="3">
        <v>37</v>
      </c>
      <c r="G887" s="8" t="str" cm="1">
        <f t="array" ref="G887">_xlfn.IFS(
    F887 &lt; 25, "Young",
    F887 &lt;= 40, "Mid-Age",
    F887 &gt; 40, "Old-Age"
)</f>
        <v>Mid-Age</v>
      </c>
      <c r="H887" s="3" t="s">
        <v>16</v>
      </c>
      <c r="I887" s="3">
        <v>3</v>
      </c>
      <c r="J887" s="3">
        <v>300</v>
      </c>
      <c r="K887" s="3">
        <v>900</v>
      </c>
      <c r="L887" s="3">
        <f t="shared" si="27"/>
        <v>1.1978991232820191</v>
      </c>
    </row>
    <row r="888" spans="1:12" x14ac:dyDescent="0.3">
      <c r="A888" s="3">
        <v>887</v>
      </c>
      <c r="B888" s="4">
        <v>45088</v>
      </c>
      <c r="C888" s="9" t="str">
        <f t="shared" si="26"/>
        <v>June</v>
      </c>
      <c r="D888" s="3" t="s">
        <v>900</v>
      </c>
      <c r="E888" s="3" t="s">
        <v>10</v>
      </c>
      <c r="F888" s="3">
        <v>59</v>
      </c>
      <c r="G888" s="8" t="str" cm="1">
        <f t="array" ref="G888">_xlfn.IFS(
    F888 &lt; 25, "Young",
    F888 &lt;= 40, "Mid-Age",
    F888 &gt; 40, "Old-Age"
)</f>
        <v>Old-Age</v>
      </c>
      <c r="H888" s="3" t="s">
        <v>14</v>
      </c>
      <c r="I888" s="3">
        <v>4</v>
      </c>
      <c r="J888" s="3">
        <v>25</v>
      </c>
      <c r="K888" s="3">
        <v>100</v>
      </c>
      <c r="L888" s="3">
        <f t="shared" si="27"/>
        <v>1.2248947031532882</v>
      </c>
    </row>
    <row r="889" spans="1:12" x14ac:dyDescent="0.3">
      <c r="A889" s="3">
        <v>888</v>
      </c>
      <c r="B889" s="4">
        <v>44988</v>
      </c>
      <c r="C889" s="9" t="str">
        <f t="shared" si="26"/>
        <v>March</v>
      </c>
      <c r="D889" s="3" t="s">
        <v>901</v>
      </c>
      <c r="E889" s="3" t="s">
        <v>13</v>
      </c>
      <c r="F889" s="3">
        <v>52</v>
      </c>
      <c r="G889" s="8" t="str" cm="1">
        <f t="array" ref="G889">_xlfn.IFS(
    F889 &lt; 25, "Young",
    F889 &lt;= 40, "Mid-Age",
    F889 &gt; 40, "Old-Age"
)</f>
        <v>Old-Age</v>
      </c>
      <c r="H889" s="3" t="s">
        <v>16</v>
      </c>
      <c r="I889" s="3">
        <v>4</v>
      </c>
      <c r="J889" s="3">
        <v>25</v>
      </c>
      <c r="K889" s="3">
        <v>100</v>
      </c>
      <c r="L889" s="3">
        <f t="shared" si="27"/>
        <v>1.2117223771935028</v>
      </c>
    </row>
    <row r="890" spans="1:12" x14ac:dyDescent="0.3">
      <c r="A890" s="3">
        <v>889</v>
      </c>
      <c r="B890" s="4">
        <v>45201</v>
      </c>
      <c r="C890" s="9" t="str">
        <f t="shared" si="26"/>
        <v>October</v>
      </c>
      <c r="D890" s="3" t="s">
        <v>902</v>
      </c>
      <c r="E890" s="3" t="s">
        <v>13</v>
      </c>
      <c r="F890" s="3">
        <v>35</v>
      </c>
      <c r="G890" s="8" t="str" cm="1">
        <f t="array" ref="G890">_xlfn.IFS(
    F890 &lt; 25, "Young",
    F890 &lt;= 40, "Mid-Age",
    F890 &gt; 40, "Old-Age"
)</f>
        <v>Mid-Age</v>
      </c>
      <c r="H890" s="3" t="s">
        <v>16</v>
      </c>
      <c r="I890" s="3">
        <v>1</v>
      </c>
      <c r="J890" s="3">
        <v>50</v>
      </c>
      <c r="K890" s="3">
        <v>50</v>
      </c>
      <c r="L890" s="3">
        <f t="shared" si="27"/>
        <v>1.1984413660357567</v>
      </c>
    </row>
    <row r="891" spans="1:12" x14ac:dyDescent="0.3">
      <c r="A891" s="3">
        <v>890</v>
      </c>
      <c r="B891" s="4">
        <v>45280</v>
      </c>
      <c r="C891" s="9" t="str">
        <f t="shared" si="26"/>
        <v>December</v>
      </c>
      <c r="D891" s="3" t="s">
        <v>903</v>
      </c>
      <c r="E891" s="3" t="s">
        <v>10</v>
      </c>
      <c r="F891" s="3">
        <v>34</v>
      </c>
      <c r="G891" s="8" t="str" cm="1">
        <f t="array" ref="G891">_xlfn.IFS(
    F891 &lt; 25, "Young",
    F891 &lt;= 40, "Mid-Age",
    F891 &gt; 40, "Old-Age"
)</f>
        <v>Mid-Age</v>
      </c>
      <c r="H891" s="3" t="s">
        <v>16</v>
      </c>
      <c r="I891" s="3">
        <v>2</v>
      </c>
      <c r="J891" s="3">
        <v>25</v>
      </c>
      <c r="K891" s="3">
        <v>50</v>
      </c>
      <c r="L891" s="3">
        <f t="shared" si="27"/>
        <v>1.1846195199779348</v>
      </c>
    </row>
    <row r="892" spans="1:12" x14ac:dyDescent="0.3">
      <c r="A892" s="3">
        <v>891</v>
      </c>
      <c r="B892" s="4">
        <v>45021</v>
      </c>
      <c r="C892" s="9" t="str">
        <f t="shared" si="26"/>
        <v>April</v>
      </c>
      <c r="D892" s="3" t="s">
        <v>904</v>
      </c>
      <c r="E892" s="3" t="s">
        <v>10</v>
      </c>
      <c r="F892" s="3">
        <v>41</v>
      </c>
      <c r="G892" s="8" t="str" cm="1">
        <f t="array" ref="G892">_xlfn.IFS(
    F892 &lt; 25, "Young",
    F892 &lt;= 40, "Mid-Age",
    F892 &gt; 40, "Old-Age"
)</f>
        <v>Old-Age</v>
      </c>
      <c r="H892" s="3" t="s">
        <v>16</v>
      </c>
      <c r="I892" s="3">
        <v>3</v>
      </c>
      <c r="J892" s="3">
        <v>300</v>
      </c>
      <c r="K892" s="3">
        <v>900</v>
      </c>
      <c r="L892" s="3">
        <f t="shared" si="27"/>
        <v>1.1710979339075001</v>
      </c>
    </row>
    <row r="893" spans="1:12" x14ac:dyDescent="0.3">
      <c r="A893" s="3">
        <v>892</v>
      </c>
      <c r="B893" s="4">
        <v>45025</v>
      </c>
      <c r="C893" s="9" t="str">
        <f t="shared" si="26"/>
        <v>April</v>
      </c>
      <c r="D893" s="3" t="s">
        <v>905</v>
      </c>
      <c r="E893" s="3" t="s">
        <v>10</v>
      </c>
      <c r="F893" s="3">
        <v>20</v>
      </c>
      <c r="G893" s="8" t="str" cm="1">
        <f t="array" ref="G893">_xlfn.IFS(
    F893 &lt; 25, "Young",
    F893 &lt;= 40, "Mid-Age",
    F893 &gt; 40, "Old-Age"
)</f>
        <v>Young</v>
      </c>
      <c r="H893" s="3" t="s">
        <v>16</v>
      </c>
      <c r="I893" s="3">
        <v>1</v>
      </c>
      <c r="J893" s="3">
        <v>50</v>
      </c>
      <c r="K893" s="3">
        <v>50</v>
      </c>
      <c r="L893" s="3">
        <f t="shared" si="27"/>
        <v>1.1982894376213347</v>
      </c>
    </row>
    <row r="894" spans="1:12" x14ac:dyDescent="0.3">
      <c r="A894" s="3">
        <v>893</v>
      </c>
      <c r="B894" s="4">
        <v>45037</v>
      </c>
      <c r="C894" s="9" t="str">
        <f t="shared" si="26"/>
        <v>April</v>
      </c>
      <c r="D894" s="3" t="s">
        <v>906</v>
      </c>
      <c r="E894" s="3" t="s">
        <v>10</v>
      </c>
      <c r="F894" s="3">
        <v>49</v>
      </c>
      <c r="G894" s="8" t="str" cm="1">
        <f t="array" ref="G894">_xlfn.IFS(
    F894 &lt; 25, "Young",
    F894 &lt;= 40, "Mid-Age",
    F894 &gt; 40, "Old-Age"
)</f>
        <v>Old-Age</v>
      </c>
      <c r="H894" s="3" t="s">
        <v>16</v>
      </c>
      <c r="I894" s="3">
        <v>1</v>
      </c>
      <c r="J894" s="3">
        <v>50</v>
      </c>
      <c r="K894" s="3">
        <v>50</v>
      </c>
      <c r="L894" s="3">
        <f t="shared" si="27"/>
        <v>1.1840859312565652</v>
      </c>
    </row>
    <row r="895" spans="1:12" x14ac:dyDescent="0.3">
      <c r="A895" s="3">
        <v>894</v>
      </c>
      <c r="B895" s="4">
        <v>45174</v>
      </c>
      <c r="C895" s="9" t="str">
        <f t="shared" si="26"/>
        <v>September</v>
      </c>
      <c r="D895" s="3" t="s">
        <v>907</v>
      </c>
      <c r="E895" s="3" t="s">
        <v>10</v>
      </c>
      <c r="F895" s="3">
        <v>52</v>
      </c>
      <c r="G895" s="8" t="str" cm="1">
        <f t="array" ref="G895">_xlfn.IFS(
    F895 &lt; 25, "Young",
    F895 &lt;= 40, "Mid-Age",
    F895 &gt; 40, "Old-Age"
)</f>
        <v>Old-Age</v>
      </c>
      <c r="H895" s="3" t="s">
        <v>16</v>
      </c>
      <c r="I895" s="3">
        <v>1</v>
      </c>
      <c r="J895" s="3">
        <v>30</v>
      </c>
      <c r="K895" s="3">
        <v>30</v>
      </c>
      <c r="L895" s="3">
        <f t="shared" si="27"/>
        <v>1.1697491880185888</v>
      </c>
    </row>
    <row r="896" spans="1:12" x14ac:dyDescent="0.3">
      <c r="A896" s="3">
        <v>895</v>
      </c>
      <c r="B896" s="4">
        <v>45068</v>
      </c>
      <c r="C896" s="9" t="str">
        <f t="shared" si="26"/>
        <v>May</v>
      </c>
      <c r="D896" s="3" t="s">
        <v>908</v>
      </c>
      <c r="E896" s="3" t="s">
        <v>13</v>
      </c>
      <c r="F896" s="3">
        <v>55</v>
      </c>
      <c r="G896" s="8" t="str" cm="1">
        <f t="array" ref="G896">_xlfn.IFS(
    F896 &lt; 25, "Young",
    F896 &lt;= 40, "Mid-Age",
    F896 &gt; 40, "Old-Age"
)</f>
        <v>Old-Age</v>
      </c>
      <c r="H896" s="3" t="s">
        <v>14</v>
      </c>
      <c r="I896" s="3">
        <v>4</v>
      </c>
      <c r="J896" s="3">
        <v>30</v>
      </c>
      <c r="K896" s="3">
        <v>120</v>
      </c>
      <c r="L896" s="3">
        <f t="shared" si="27"/>
        <v>1.1554905578430568</v>
      </c>
    </row>
    <row r="897" spans="1:12" x14ac:dyDescent="0.3">
      <c r="A897" s="3">
        <v>896</v>
      </c>
      <c r="B897" s="4">
        <v>45228</v>
      </c>
      <c r="C897" s="9" t="str">
        <f t="shared" si="26"/>
        <v>October</v>
      </c>
      <c r="D897" s="3" t="s">
        <v>909</v>
      </c>
      <c r="E897" s="3" t="s">
        <v>13</v>
      </c>
      <c r="F897" s="3">
        <v>30</v>
      </c>
      <c r="G897" s="8" t="str" cm="1">
        <f t="array" ref="G897">_xlfn.IFS(
    F897 &lt; 25, "Young",
    F897 &lt;= 40, "Mid-Age",
    F897 &gt; 40, "Old-Age"
)</f>
        <v>Mid-Age</v>
      </c>
      <c r="H897" s="3" t="s">
        <v>16</v>
      </c>
      <c r="I897" s="3">
        <v>2</v>
      </c>
      <c r="J897" s="3">
        <v>25</v>
      </c>
      <c r="K897" s="3">
        <v>50</v>
      </c>
      <c r="L897" s="3">
        <f t="shared" si="27"/>
        <v>1.1410982696294389</v>
      </c>
    </row>
    <row r="898" spans="1:12" x14ac:dyDescent="0.3">
      <c r="A898" s="3">
        <v>897</v>
      </c>
      <c r="B898" s="4">
        <v>45195</v>
      </c>
      <c r="C898" s="9" t="str">
        <f t="shared" ref="C898:C961" si="28">TEXT(B898,"mmmm")</f>
        <v>September</v>
      </c>
      <c r="D898" s="3" t="s">
        <v>910</v>
      </c>
      <c r="E898" s="3" t="s">
        <v>13</v>
      </c>
      <c r="F898" s="3">
        <v>64</v>
      </c>
      <c r="G898" s="8" t="str" cm="1">
        <f t="array" ref="G898">_xlfn.IFS(
    F898 &lt; 25, "Young",
    F898 &lt;= 40, "Mid-Age",
    F898 &gt; 40, "Old-Age"
)</f>
        <v>Old-Age</v>
      </c>
      <c r="H898" s="3" t="s">
        <v>16</v>
      </c>
      <c r="I898" s="3">
        <v>2</v>
      </c>
      <c r="J898" s="3">
        <v>50</v>
      </c>
      <c r="K898" s="3">
        <v>100</v>
      </c>
      <c r="L898" s="3">
        <f t="shared" ref="L898:L961" si="29">SKEW(J898:J1897)</f>
        <v>1.1267783662811066</v>
      </c>
    </row>
    <row r="899" spans="1:12" x14ac:dyDescent="0.3">
      <c r="A899" s="3">
        <v>898</v>
      </c>
      <c r="B899" s="4">
        <v>45232</v>
      </c>
      <c r="C899" s="9" t="str">
        <f t="shared" si="28"/>
        <v>November</v>
      </c>
      <c r="D899" s="3" t="s">
        <v>911</v>
      </c>
      <c r="E899" s="3" t="s">
        <v>13</v>
      </c>
      <c r="F899" s="3">
        <v>42</v>
      </c>
      <c r="G899" s="8" t="str" cm="1">
        <f t="array" ref="G899">_xlfn.IFS(
    F899 &lt; 25, "Young",
    F899 &lt;= 40, "Mid-Age",
    F899 &gt; 40, "Old-Age"
)</f>
        <v>Old-Age</v>
      </c>
      <c r="H899" s="3" t="s">
        <v>14</v>
      </c>
      <c r="I899" s="3">
        <v>3</v>
      </c>
      <c r="J899" s="3">
        <v>30</v>
      </c>
      <c r="K899" s="3">
        <v>90</v>
      </c>
      <c r="L899" s="3">
        <f t="shared" si="29"/>
        <v>1.1118634454083531</v>
      </c>
    </row>
    <row r="900" spans="1:12" x14ac:dyDescent="0.3">
      <c r="A900" s="3">
        <v>899</v>
      </c>
      <c r="B900" s="4">
        <v>45071</v>
      </c>
      <c r="C900" s="9" t="str">
        <f t="shared" si="28"/>
        <v>May</v>
      </c>
      <c r="D900" s="3" t="s">
        <v>912</v>
      </c>
      <c r="E900" s="3" t="s">
        <v>10</v>
      </c>
      <c r="F900" s="3">
        <v>26</v>
      </c>
      <c r="G900" s="8" t="str" cm="1">
        <f t="array" ref="G900">_xlfn.IFS(
    F900 &lt; 25, "Young",
    F900 &lt;= 40, "Mid-Age",
    F900 &gt; 40, "Old-Age"
)</f>
        <v>Mid-Age</v>
      </c>
      <c r="H900" s="3" t="s">
        <v>14</v>
      </c>
      <c r="I900" s="3">
        <v>2</v>
      </c>
      <c r="J900" s="3">
        <v>300</v>
      </c>
      <c r="K900" s="3">
        <v>600</v>
      </c>
      <c r="L900" s="3">
        <f t="shared" si="29"/>
        <v>1.0970421347681325</v>
      </c>
    </row>
    <row r="901" spans="1:12" x14ac:dyDescent="0.3">
      <c r="A901" s="3">
        <v>900</v>
      </c>
      <c r="B901" s="4">
        <v>44978</v>
      </c>
      <c r="C901" s="9" t="str">
        <f t="shared" si="28"/>
        <v>February</v>
      </c>
      <c r="D901" s="3" t="s">
        <v>913</v>
      </c>
      <c r="E901" s="3" t="s">
        <v>10</v>
      </c>
      <c r="F901" s="3">
        <v>21</v>
      </c>
      <c r="G901" s="8" t="str" cm="1">
        <f t="array" ref="G901">_xlfn.IFS(
    F901 &lt; 25, "Young",
    F901 &lt;= 40, "Mid-Age",
    F901 &gt; 40, "Old-Age"
)</f>
        <v>Young</v>
      </c>
      <c r="H901" s="3" t="s">
        <v>14</v>
      </c>
      <c r="I901" s="3">
        <v>2</v>
      </c>
      <c r="J901" s="3">
        <v>30</v>
      </c>
      <c r="K901" s="3">
        <v>60</v>
      </c>
      <c r="L901" s="3">
        <f t="shared" si="29"/>
        <v>1.1239941563373124</v>
      </c>
    </row>
    <row r="902" spans="1:12" x14ac:dyDescent="0.3">
      <c r="A902" s="3">
        <v>901</v>
      </c>
      <c r="B902" s="4">
        <v>45026</v>
      </c>
      <c r="C902" s="9" t="str">
        <f t="shared" si="28"/>
        <v>April</v>
      </c>
      <c r="D902" s="3" t="s">
        <v>914</v>
      </c>
      <c r="E902" s="3" t="s">
        <v>10</v>
      </c>
      <c r="F902" s="3">
        <v>31</v>
      </c>
      <c r="G902" s="8" t="str" cm="1">
        <f t="array" ref="G902">_xlfn.IFS(
    F902 &lt; 25, "Young",
    F902 &lt;= 40, "Mid-Age",
    F902 &gt; 40, "Old-Age"
)</f>
        <v>Mid-Age</v>
      </c>
      <c r="H902" s="3" t="s">
        <v>16</v>
      </c>
      <c r="I902" s="3">
        <v>1</v>
      </c>
      <c r="J902" s="3">
        <v>30</v>
      </c>
      <c r="K902" s="3">
        <v>30</v>
      </c>
      <c r="L902" s="3">
        <f t="shared" si="29"/>
        <v>1.1088726592769838</v>
      </c>
    </row>
    <row r="903" spans="1:12" x14ac:dyDescent="0.3">
      <c r="A903" s="3">
        <v>902</v>
      </c>
      <c r="B903" s="4">
        <v>45078</v>
      </c>
      <c r="C903" s="9" t="str">
        <f t="shared" si="28"/>
        <v>June</v>
      </c>
      <c r="D903" s="3" t="s">
        <v>915</v>
      </c>
      <c r="E903" s="3" t="s">
        <v>13</v>
      </c>
      <c r="F903" s="3">
        <v>54</v>
      </c>
      <c r="G903" s="8" t="str" cm="1">
        <f t="array" ref="G903">_xlfn.IFS(
    F903 &lt; 25, "Young",
    F903 &lt;= 40, "Mid-Age",
    F903 &gt; 40, "Old-Age"
)</f>
        <v>Old-Age</v>
      </c>
      <c r="H903" s="3" t="s">
        <v>11</v>
      </c>
      <c r="I903" s="3">
        <v>1</v>
      </c>
      <c r="J903" s="3">
        <v>50</v>
      </c>
      <c r="K903" s="3">
        <v>50</v>
      </c>
      <c r="L903" s="3">
        <f t="shared" si="29"/>
        <v>1.0935976320689584</v>
      </c>
    </row>
    <row r="904" spans="1:12" x14ac:dyDescent="0.3">
      <c r="A904" s="3">
        <v>903</v>
      </c>
      <c r="B904" s="4">
        <v>45043</v>
      </c>
      <c r="C904" s="9" t="str">
        <f t="shared" si="28"/>
        <v>April</v>
      </c>
      <c r="D904" s="3" t="s">
        <v>916</v>
      </c>
      <c r="E904" s="3" t="s">
        <v>13</v>
      </c>
      <c r="F904" s="3">
        <v>51</v>
      </c>
      <c r="G904" s="8" t="str" cm="1">
        <f t="array" ref="G904">_xlfn.IFS(
    F904 &lt; 25, "Young",
    F904 &lt;= 40, "Mid-Age",
    F904 &gt; 40, "Old-Age"
)</f>
        <v>Old-Age</v>
      </c>
      <c r="H904" s="3" t="s">
        <v>11</v>
      </c>
      <c r="I904" s="3">
        <v>4</v>
      </c>
      <c r="J904" s="3">
        <v>50</v>
      </c>
      <c r="K904" s="3">
        <v>200</v>
      </c>
      <c r="L904" s="3">
        <f t="shared" si="29"/>
        <v>1.0779036103202349</v>
      </c>
    </row>
    <row r="905" spans="1:12" x14ac:dyDescent="0.3">
      <c r="A905" s="3">
        <v>904</v>
      </c>
      <c r="B905" s="4">
        <v>45111</v>
      </c>
      <c r="C905" s="9" t="str">
        <f t="shared" si="28"/>
        <v>July</v>
      </c>
      <c r="D905" s="3" t="s">
        <v>917</v>
      </c>
      <c r="E905" s="3" t="s">
        <v>10</v>
      </c>
      <c r="F905" s="3">
        <v>28</v>
      </c>
      <c r="G905" s="8" t="str" cm="1">
        <f t="array" ref="G905">_xlfn.IFS(
    F905 &lt; 25, "Young",
    F905 &lt;= 40, "Mid-Age",
    F905 &gt; 40, "Old-Age"
)</f>
        <v>Mid-Age</v>
      </c>
      <c r="H905" s="3" t="s">
        <v>14</v>
      </c>
      <c r="I905" s="3">
        <v>1</v>
      </c>
      <c r="J905" s="3">
        <v>500</v>
      </c>
      <c r="K905" s="3">
        <v>500</v>
      </c>
      <c r="L905" s="3">
        <f t="shared" si="29"/>
        <v>1.0620387829765483</v>
      </c>
    </row>
    <row r="906" spans="1:12" x14ac:dyDescent="0.3">
      <c r="A906" s="3">
        <v>905</v>
      </c>
      <c r="B906" s="4">
        <v>45018</v>
      </c>
      <c r="C906" s="9" t="str">
        <f t="shared" si="28"/>
        <v>April</v>
      </c>
      <c r="D906" s="3" t="s">
        <v>918</v>
      </c>
      <c r="E906" s="3" t="s">
        <v>10</v>
      </c>
      <c r="F906" s="3">
        <v>58</v>
      </c>
      <c r="G906" s="8" t="str" cm="1">
        <f t="array" ref="G906">_xlfn.IFS(
    F906 &lt; 25, "Young",
    F906 &lt;= 40, "Mid-Age",
    F906 &gt; 40, "Old-Age"
)</f>
        <v>Old-Age</v>
      </c>
      <c r="H906" s="3" t="s">
        <v>11</v>
      </c>
      <c r="I906" s="3">
        <v>1</v>
      </c>
      <c r="J906" s="3">
        <v>300</v>
      </c>
      <c r="K906" s="3">
        <v>300</v>
      </c>
      <c r="L906" s="3">
        <f t="shared" si="29"/>
        <v>1.1024643958475149</v>
      </c>
    </row>
    <row r="907" spans="1:12" x14ac:dyDescent="0.3">
      <c r="A907" s="3">
        <v>906</v>
      </c>
      <c r="B907" s="4">
        <v>45081</v>
      </c>
      <c r="C907" s="9" t="str">
        <f t="shared" si="28"/>
        <v>June</v>
      </c>
      <c r="D907" s="3" t="s">
        <v>919</v>
      </c>
      <c r="E907" s="3" t="s">
        <v>13</v>
      </c>
      <c r="F907" s="3">
        <v>20</v>
      </c>
      <c r="G907" s="8" t="str" cm="1">
        <f t="array" ref="G907">_xlfn.IFS(
    F907 &lt; 25, "Young",
    F907 &lt;= 40, "Mid-Age",
    F907 &gt; 40, "Old-Age"
)</f>
        <v>Young</v>
      </c>
      <c r="H907" s="3" t="s">
        <v>14</v>
      </c>
      <c r="I907" s="3">
        <v>1</v>
      </c>
      <c r="J907" s="3">
        <v>50</v>
      </c>
      <c r="K907" s="3">
        <v>50</v>
      </c>
      <c r="L907" s="3">
        <f t="shared" si="29"/>
        <v>1.1314385299648633</v>
      </c>
    </row>
    <row r="908" spans="1:12" x14ac:dyDescent="0.3">
      <c r="A908" s="3">
        <v>907</v>
      </c>
      <c r="B908" s="4">
        <v>44934</v>
      </c>
      <c r="C908" s="9" t="str">
        <f t="shared" si="28"/>
        <v>January</v>
      </c>
      <c r="D908" s="3" t="s">
        <v>920</v>
      </c>
      <c r="E908" s="3" t="s">
        <v>13</v>
      </c>
      <c r="F908" s="3">
        <v>45</v>
      </c>
      <c r="G908" s="8" t="str" cm="1">
        <f t="array" ref="G908">_xlfn.IFS(
    F908 &lt; 25, "Young",
    F908 &lt;= 40, "Mid-Age",
    F908 &gt; 40, "Old-Age"
)</f>
        <v>Old-Age</v>
      </c>
      <c r="H908" s="3" t="s">
        <v>16</v>
      </c>
      <c r="I908" s="3">
        <v>1</v>
      </c>
      <c r="J908" s="3">
        <v>25</v>
      </c>
      <c r="K908" s="3">
        <v>25</v>
      </c>
      <c r="L908" s="3">
        <f t="shared" si="29"/>
        <v>1.1151047595430557</v>
      </c>
    </row>
    <row r="909" spans="1:12" x14ac:dyDescent="0.3">
      <c r="A909" s="3">
        <v>908</v>
      </c>
      <c r="B909" s="4">
        <v>45289</v>
      </c>
      <c r="C909" s="9" t="str">
        <f t="shared" si="28"/>
        <v>December</v>
      </c>
      <c r="D909" s="3" t="s">
        <v>921</v>
      </c>
      <c r="E909" s="3" t="s">
        <v>10</v>
      </c>
      <c r="F909" s="3">
        <v>46</v>
      </c>
      <c r="G909" s="8" t="str" cm="1">
        <f t="array" ref="G909">_xlfn.IFS(
    F909 &lt; 25, "Young",
    F909 &lt;= 40, "Mid-Age",
    F909 &gt; 40, "Old-Age"
)</f>
        <v>Old-Age</v>
      </c>
      <c r="H909" s="3" t="s">
        <v>11</v>
      </c>
      <c r="I909" s="3">
        <v>4</v>
      </c>
      <c r="J909" s="3">
        <v>300</v>
      </c>
      <c r="K909" s="3">
        <v>1200</v>
      </c>
      <c r="L909" s="3">
        <f t="shared" si="29"/>
        <v>1.0990506456879119</v>
      </c>
    </row>
    <row r="910" spans="1:12" x14ac:dyDescent="0.3">
      <c r="A910" s="3">
        <v>909</v>
      </c>
      <c r="B910" s="4">
        <v>45200</v>
      </c>
      <c r="C910" s="9" t="str">
        <f t="shared" si="28"/>
        <v>October</v>
      </c>
      <c r="D910" s="3" t="s">
        <v>922</v>
      </c>
      <c r="E910" s="3" t="s">
        <v>10</v>
      </c>
      <c r="F910" s="3">
        <v>26</v>
      </c>
      <c r="G910" s="8" t="str" cm="1">
        <f t="array" ref="G910">_xlfn.IFS(
    F910 &lt; 25, "Young",
    F910 &lt;= 40, "Mid-Age",
    F910 &gt; 40, "Old-Age"
)</f>
        <v>Mid-Age</v>
      </c>
      <c r="H910" s="3" t="s">
        <v>16</v>
      </c>
      <c r="I910" s="3">
        <v>1</v>
      </c>
      <c r="J910" s="3">
        <v>300</v>
      </c>
      <c r="K910" s="3">
        <v>300</v>
      </c>
      <c r="L910" s="3">
        <f t="shared" si="29"/>
        <v>1.1285376130615701</v>
      </c>
    </row>
    <row r="911" spans="1:12" x14ac:dyDescent="0.3">
      <c r="A911" s="3">
        <v>910</v>
      </c>
      <c r="B911" s="4">
        <v>44991</v>
      </c>
      <c r="C911" s="9" t="str">
        <f t="shared" si="28"/>
        <v>March</v>
      </c>
      <c r="D911" s="3" t="s">
        <v>923</v>
      </c>
      <c r="E911" s="3" t="s">
        <v>13</v>
      </c>
      <c r="F911" s="3">
        <v>20</v>
      </c>
      <c r="G911" s="8" t="str" cm="1">
        <f t="array" ref="G911">_xlfn.IFS(
    F911 &lt; 25, "Young",
    F911 &lt;= 40, "Mid-Age",
    F911 &gt; 40, "Old-Age"
)</f>
        <v>Young</v>
      </c>
      <c r="H911" s="3" t="s">
        <v>11</v>
      </c>
      <c r="I911" s="3">
        <v>3</v>
      </c>
      <c r="J911" s="3">
        <v>50</v>
      </c>
      <c r="K911" s="3">
        <v>150</v>
      </c>
      <c r="L911" s="3">
        <f t="shared" si="29"/>
        <v>1.1589138813273225</v>
      </c>
    </row>
    <row r="912" spans="1:12" x14ac:dyDescent="0.3">
      <c r="A912" s="3">
        <v>911</v>
      </c>
      <c r="B912" s="4">
        <v>45067</v>
      </c>
      <c r="C912" s="9" t="str">
        <f t="shared" si="28"/>
        <v>May</v>
      </c>
      <c r="D912" s="3" t="s">
        <v>924</v>
      </c>
      <c r="E912" s="3" t="s">
        <v>10</v>
      </c>
      <c r="F912" s="3">
        <v>42</v>
      </c>
      <c r="G912" s="8" t="str" cm="1">
        <f t="array" ref="G912">_xlfn.IFS(
    F912 &lt; 25, "Young",
    F912 &lt;= 40, "Mid-Age",
    F912 &gt; 40, "Old-Age"
)</f>
        <v>Old-Age</v>
      </c>
      <c r="H912" s="3" t="s">
        <v>16</v>
      </c>
      <c r="I912" s="3">
        <v>3</v>
      </c>
      <c r="J912" s="3">
        <v>300</v>
      </c>
      <c r="K912" s="3">
        <v>900</v>
      </c>
      <c r="L912" s="3">
        <f t="shared" si="29"/>
        <v>1.1418746047206565</v>
      </c>
    </row>
    <row r="913" spans="1:12" x14ac:dyDescent="0.3">
      <c r="A913" s="3">
        <v>912</v>
      </c>
      <c r="B913" s="4">
        <v>44950</v>
      </c>
      <c r="C913" s="9" t="str">
        <f t="shared" si="28"/>
        <v>January</v>
      </c>
      <c r="D913" s="3" t="s">
        <v>925</v>
      </c>
      <c r="E913" s="3" t="s">
        <v>10</v>
      </c>
      <c r="F913" s="3">
        <v>51</v>
      </c>
      <c r="G913" s="8" t="str" cm="1">
        <f t="array" ref="G913">_xlfn.IFS(
    F913 &lt; 25, "Young",
    F913 &lt;= 40, "Mid-Age",
    F913 &gt; 40, "Old-Age"
)</f>
        <v>Old-Age</v>
      </c>
      <c r="H913" s="3" t="s">
        <v>11</v>
      </c>
      <c r="I913" s="3">
        <v>3</v>
      </c>
      <c r="J913" s="3">
        <v>50</v>
      </c>
      <c r="K913" s="3">
        <v>150</v>
      </c>
      <c r="L913" s="3">
        <f t="shared" si="29"/>
        <v>1.1730153624189705</v>
      </c>
    </row>
    <row r="914" spans="1:12" x14ac:dyDescent="0.3">
      <c r="A914" s="3">
        <v>913</v>
      </c>
      <c r="B914" s="4">
        <v>44954</v>
      </c>
      <c r="C914" s="9" t="str">
        <f t="shared" si="28"/>
        <v>January</v>
      </c>
      <c r="D914" s="3" t="s">
        <v>926</v>
      </c>
      <c r="E914" s="3" t="s">
        <v>10</v>
      </c>
      <c r="F914" s="3">
        <v>29</v>
      </c>
      <c r="G914" s="8" t="str" cm="1">
        <f t="array" ref="G914">_xlfn.IFS(
    F914 &lt; 25, "Young",
    F914 &lt;= 40, "Mid-Age",
    F914 &gt; 40, "Old-Age"
)</f>
        <v>Mid-Age</v>
      </c>
      <c r="H914" s="3" t="s">
        <v>16</v>
      </c>
      <c r="I914" s="3">
        <v>3</v>
      </c>
      <c r="J914" s="3">
        <v>30</v>
      </c>
      <c r="K914" s="3">
        <v>90</v>
      </c>
      <c r="L914" s="3">
        <f t="shared" si="29"/>
        <v>1.1556025494469282</v>
      </c>
    </row>
    <row r="915" spans="1:12" x14ac:dyDescent="0.3">
      <c r="A915" s="3">
        <v>914</v>
      </c>
      <c r="B915" s="4">
        <v>45210</v>
      </c>
      <c r="C915" s="9" t="str">
        <f t="shared" si="28"/>
        <v>October</v>
      </c>
      <c r="D915" s="3" t="s">
        <v>927</v>
      </c>
      <c r="E915" s="3" t="s">
        <v>13</v>
      </c>
      <c r="F915" s="3">
        <v>59</v>
      </c>
      <c r="G915" s="8" t="str" cm="1">
        <f t="array" ref="G915">_xlfn.IFS(
    F915 &lt; 25, "Young",
    F915 &lt;= 40, "Mid-Age",
    F915 &gt; 40, "Old-Age"
)</f>
        <v>Old-Age</v>
      </c>
      <c r="H915" s="3" t="s">
        <v>16</v>
      </c>
      <c r="I915" s="3">
        <v>1</v>
      </c>
      <c r="J915" s="3">
        <v>500</v>
      </c>
      <c r="K915" s="3">
        <v>500</v>
      </c>
      <c r="L915" s="3">
        <f t="shared" si="29"/>
        <v>1.1381637816159744</v>
      </c>
    </row>
    <row r="916" spans="1:12" x14ac:dyDescent="0.3">
      <c r="A916" s="3">
        <v>915</v>
      </c>
      <c r="B916" s="4">
        <v>45076</v>
      </c>
      <c r="C916" s="9" t="str">
        <f t="shared" si="28"/>
        <v>May</v>
      </c>
      <c r="D916" s="3" t="s">
        <v>928</v>
      </c>
      <c r="E916" s="3" t="s">
        <v>13</v>
      </c>
      <c r="F916" s="3">
        <v>26</v>
      </c>
      <c r="G916" s="8" t="str" cm="1">
        <f t="array" ref="G916">_xlfn.IFS(
    F916 &lt; 25, "Young",
    F916 &lt;= 40, "Mid-Age",
    F916 &gt; 40, "Old-Age"
)</f>
        <v>Mid-Age</v>
      </c>
      <c r="H916" s="3" t="s">
        <v>11</v>
      </c>
      <c r="I916" s="3">
        <v>3</v>
      </c>
      <c r="J916" s="3">
        <v>30</v>
      </c>
      <c r="K916" s="3">
        <v>90</v>
      </c>
      <c r="L916" s="3">
        <f t="shared" si="29"/>
        <v>1.1880231950022742</v>
      </c>
    </row>
    <row r="917" spans="1:12" x14ac:dyDescent="0.3">
      <c r="A917" s="3">
        <v>916</v>
      </c>
      <c r="B917" s="4">
        <v>45284</v>
      </c>
      <c r="C917" s="9" t="str">
        <f t="shared" si="28"/>
        <v>December</v>
      </c>
      <c r="D917" s="3" t="s">
        <v>929</v>
      </c>
      <c r="E917" s="3" t="s">
        <v>13</v>
      </c>
      <c r="F917" s="3">
        <v>32</v>
      </c>
      <c r="G917" s="8" t="str" cm="1">
        <f t="array" ref="G917">_xlfn.IFS(
    F917 &lt; 25, "Young",
    F917 &lt;= 40, "Mid-Age",
    F917 &gt; 40, "Old-Age"
)</f>
        <v>Mid-Age</v>
      </c>
      <c r="H917" s="3" t="s">
        <v>16</v>
      </c>
      <c r="I917" s="3">
        <v>1</v>
      </c>
      <c r="J917" s="3">
        <v>50</v>
      </c>
      <c r="K917" s="3">
        <v>50</v>
      </c>
      <c r="L917" s="3">
        <f t="shared" si="29"/>
        <v>1.170196113326138</v>
      </c>
    </row>
    <row r="918" spans="1:12" x14ac:dyDescent="0.3">
      <c r="A918" s="3">
        <v>917</v>
      </c>
      <c r="B918" s="4">
        <v>44991</v>
      </c>
      <c r="C918" s="9" t="str">
        <f t="shared" si="28"/>
        <v>March</v>
      </c>
      <c r="D918" s="3" t="s">
        <v>930</v>
      </c>
      <c r="E918" s="3" t="s">
        <v>13</v>
      </c>
      <c r="F918" s="3">
        <v>57</v>
      </c>
      <c r="G918" s="8" t="str" cm="1">
        <f t="array" ref="G918">_xlfn.IFS(
    F918 &lt; 25, "Young",
    F918 &lt;= 40, "Mid-Age",
    F918 &gt; 40, "Old-Age"
)</f>
        <v>Old-Age</v>
      </c>
      <c r="H918" s="3" t="s">
        <v>16</v>
      </c>
      <c r="I918" s="3">
        <v>4</v>
      </c>
      <c r="J918" s="3">
        <v>50</v>
      </c>
      <c r="K918" s="3">
        <v>200</v>
      </c>
      <c r="L918" s="3">
        <f t="shared" si="29"/>
        <v>1.1519513968873534</v>
      </c>
    </row>
    <row r="919" spans="1:12" x14ac:dyDescent="0.3">
      <c r="A919" s="3">
        <v>918</v>
      </c>
      <c r="B919" s="4">
        <v>45253</v>
      </c>
      <c r="C919" s="9" t="str">
        <f t="shared" si="28"/>
        <v>November</v>
      </c>
      <c r="D919" s="3" t="s">
        <v>931</v>
      </c>
      <c r="E919" s="3" t="s">
        <v>13</v>
      </c>
      <c r="F919" s="3">
        <v>42</v>
      </c>
      <c r="G919" s="8" t="str" cm="1">
        <f t="array" ref="G919">_xlfn.IFS(
    F919 &lt; 25, "Young",
    F919 &lt;= 40, "Mid-Age",
    F919 &gt; 40, "Old-Age"
)</f>
        <v>Old-Age</v>
      </c>
      <c r="H919" s="3" t="s">
        <v>16</v>
      </c>
      <c r="I919" s="3">
        <v>3</v>
      </c>
      <c r="J919" s="3">
        <v>30</v>
      </c>
      <c r="K919" s="3">
        <v>90</v>
      </c>
      <c r="L919" s="3">
        <f t="shared" si="29"/>
        <v>1.1334819092833772</v>
      </c>
    </row>
    <row r="920" spans="1:12" x14ac:dyDescent="0.3">
      <c r="A920" s="3">
        <v>919</v>
      </c>
      <c r="B920" s="4">
        <v>45178</v>
      </c>
      <c r="C920" s="9" t="str">
        <f t="shared" si="28"/>
        <v>September</v>
      </c>
      <c r="D920" s="3" t="s">
        <v>932</v>
      </c>
      <c r="E920" s="3" t="s">
        <v>13</v>
      </c>
      <c r="F920" s="3">
        <v>22</v>
      </c>
      <c r="G920" s="8" t="str" cm="1">
        <f t="array" ref="G920">_xlfn.IFS(
    F920 &lt; 25, "Young",
    F920 &lt;= 40, "Mid-Age",
    F920 &gt; 40, "Old-Age"
)</f>
        <v>Young</v>
      </c>
      <c r="H920" s="3" t="s">
        <v>11</v>
      </c>
      <c r="I920" s="3">
        <v>2</v>
      </c>
      <c r="J920" s="3">
        <v>25</v>
      </c>
      <c r="K920" s="3">
        <v>50</v>
      </c>
      <c r="L920" s="3">
        <f t="shared" si="29"/>
        <v>1.114976408581049</v>
      </c>
    </row>
    <row r="921" spans="1:12" x14ac:dyDescent="0.3">
      <c r="A921" s="3">
        <v>920</v>
      </c>
      <c r="B921" s="4">
        <v>44979</v>
      </c>
      <c r="C921" s="9" t="str">
        <f t="shared" si="28"/>
        <v>February</v>
      </c>
      <c r="D921" s="3" t="s">
        <v>933</v>
      </c>
      <c r="E921" s="3" t="s">
        <v>13</v>
      </c>
      <c r="F921" s="3">
        <v>28</v>
      </c>
      <c r="G921" s="8" t="str" cm="1">
        <f t="array" ref="G921">_xlfn.IFS(
    F921 &lt; 25, "Young",
    F921 &lt;= 40, "Mid-Age",
    F921 &gt; 40, "Old-Age"
)</f>
        <v>Mid-Age</v>
      </c>
      <c r="H921" s="3" t="s">
        <v>11</v>
      </c>
      <c r="I921" s="3">
        <v>3</v>
      </c>
      <c r="J921" s="3">
        <v>25</v>
      </c>
      <c r="K921" s="3">
        <v>75</v>
      </c>
      <c r="L921" s="3">
        <f t="shared" si="29"/>
        <v>1.0964740024603599</v>
      </c>
    </row>
    <row r="922" spans="1:12" x14ac:dyDescent="0.3">
      <c r="A922" s="3">
        <v>921</v>
      </c>
      <c r="B922" s="4">
        <v>44933</v>
      </c>
      <c r="C922" s="9" t="str">
        <f t="shared" si="28"/>
        <v>January</v>
      </c>
      <c r="D922" s="3" t="s">
        <v>934</v>
      </c>
      <c r="E922" s="3" t="s">
        <v>10</v>
      </c>
      <c r="F922" s="3">
        <v>51</v>
      </c>
      <c r="G922" s="8" t="str" cm="1">
        <f t="array" ref="G922">_xlfn.IFS(
    F922 &lt; 25, "Young",
    F922 &lt;= 40, "Mid-Age",
    F922 &gt; 40, "Old-Age"
)</f>
        <v>Old-Age</v>
      </c>
      <c r="H922" s="3" t="s">
        <v>16</v>
      </c>
      <c r="I922" s="3">
        <v>3</v>
      </c>
      <c r="J922" s="3">
        <v>25</v>
      </c>
      <c r="K922" s="3">
        <v>75</v>
      </c>
      <c r="L922" s="3">
        <f t="shared" si="29"/>
        <v>1.0777418495261062</v>
      </c>
    </row>
    <row r="923" spans="1:12" x14ac:dyDescent="0.3">
      <c r="A923" s="3">
        <v>922</v>
      </c>
      <c r="B923" s="4">
        <v>45220</v>
      </c>
      <c r="C923" s="9" t="str">
        <f t="shared" si="28"/>
        <v>October</v>
      </c>
      <c r="D923" s="3" t="s">
        <v>935</v>
      </c>
      <c r="E923" s="3" t="s">
        <v>10</v>
      </c>
      <c r="F923" s="3">
        <v>41</v>
      </c>
      <c r="G923" s="8" t="str" cm="1">
        <f t="array" ref="G923">_xlfn.IFS(
    F923 &lt; 25, "Young",
    F923 &lt;= 40, "Mid-Age",
    F923 &gt; 40, "Old-Age"
)</f>
        <v>Old-Age</v>
      </c>
      <c r="H923" s="3" t="s">
        <v>16</v>
      </c>
      <c r="I923" s="3">
        <v>1</v>
      </c>
      <c r="J923" s="3">
        <v>50</v>
      </c>
      <c r="K923" s="3">
        <v>50</v>
      </c>
      <c r="L923" s="3">
        <f t="shared" si="29"/>
        <v>1.0587725260751357</v>
      </c>
    </row>
    <row r="924" spans="1:12" x14ac:dyDescent="0.3">
      <c r="A924" s="3">
        <v>923</v>
      </c>
      <c r="B924" s="4">
        <v>45072</v>
      </c>
      <c r="C924" s="9" t="str">
        <f t="shared" si="28"/>
        <v>May</v>
      </c>
      <c r="D924" s="3" t="s">
        <v>936</v>
      </c>
      <c r="E924" s="3" t="s">
        <v>10</v>
      </c>
      <c r="F924" s="3">
        <v>32</v>
      </c>
      <c r="G924" s="8" t="str" cm="1">
        <f t="array" ref="G924">_xlfn.IFS(
    F924 &lt; 25, "Young",
    F924 &lt;= 40, "Mid-Age",
    F924 &gt; 40, "Old-Age"
)</f>
        <v>Mid-Age</v>
      </c>
      <c r="H924" s="3" t="s">
        <v>11</v>
      </c>
      <c r="I924" s="3">
        <v>3</v>
      </c>
      <c r="J924" s="3">
        <v>300</v>
      </c>
      <c r="K924" s="3">
        <v>900</v>
      </c>
      <c r="L924" s="3">
        <f t="shared" si="29"/>
        <v>1.0390307911101646</v>
      </c>
    </row>
    <row r="925" spans="1:12" x14ac:dyDescent="0.3">
      <c r="A925" s="3">
        <v>924</v>
      </c>
      <c r="B925" s="4">
        <v>45167</v>
      </c>
      <c r="C925" s="9" t="str">
        <f t="shared" si="28"/>
        <v>August</v>
      </c>
      <c r="D925" s="3" t="s">
        <v>937</v>
      </c>
      <c r="E925" s="3" t="s">
        <v>10</v>
      </c>
      <c r="F925" s="3">
        <v>55</v>
      </c>
      <c r="G925" s="8" t="str" cm="1">
        <f t="array" ref="G925">_xlfn.IFS(
    F925 &lt; 25, "Young",
    F925 &lt;= 40, "Mid-Age",
    F925 &gt; 40, "Old-Age"
)</f>
        <v>Old-Age</v>
      </c>
      <c r="H925" s="3" t="s">
        <v>11</v>
      </c>
      <c r="I925" s="3">
        <v>2</v>
      </c>
      <c r="J925" s="3">
        <v>50</v>
      </c>
      <c r="K925" s="3">
        <v>100</v>
      </c>
      <c r="L925" s="3">
        <f t="shared" si="29"/>
        <v>1.0715100897749639</v>
      </c>
    </row>
    <row r="926" spans="1:12" x14ac:dyDescent="0.3">
      <c r="A926" s="3">
        <v>925</v>
      </c>
      <c r="B926" s="4">
        <v>45172</v>
      </c>
      <c r="C926" s="9" t="str">
        <f t="shared" si="28"/>
        <v>September</v>
      </c>
      <c r="D926" s="3" t="s">
        <v>938</v>
      </c>
      <c r="E926" s="3" t="s">
        <v>10</v>
      </c>
      <c r="F926" s="3">
        <v>25</v>
      </c>
      <c r="G926" s="8" t="str" cm="1">
        <f t="array" ref="G926">_xlfn.IFS(
    F926 &lt; 25, "Young",
    F926 &lt;= 40, "Mid-Age",
    F926 &gt; 40, "Old-Age"
)</f>
        <v>Mid-Age</v>
      </c>
      <c r="H926" s="3" t="s">
        <v>16</v>
      </c>
      <c r="I926" s="3">
        <v>1</v>
      </c>
      <c r="J926" s="3">
        <v>300</v>
      </c>
      <c r="K926" s="3">
        <v>300</v>
      </c>
      <c r="L926" s="3">
        <f t="shared" si="29"/>
        <v>1.051271474920205</v>
      </c>
    </row>
    <row r="927" spans="1:12" x14ac:dyDescent="0.3">
      <c r="A927" s="3">
        <v>926</v>
      </c>
      <c r="B927" s="4">
        <v>45152</v>
      </c>
      <c r="C927" s="9" t="str">
        <f t="shared" si="28"/>
        <v>August</v>
      </c>
      <c r="D927" s="3" t="s">
        <v>939</v>
      </c>
      <c r="E927" s="3" t="s">
        <v>10</v>
      </c>
      <c r="F927" s="3">
        <v>22</v>
      </c>
      <c r="G927" s="8" t="str" cm="1">
        <f t="array" ref="G927">_xlfn.IFS(
    F927 &lt; 25, "Young",
    F927 &lt;= 40, "Mid-Age",
    F927 &gt; 40, "Old-Age"
)</f>
        <v>Young</v>
      </c>
      <c r="H927" s="3" t="s">
        <v>16</v>
      </c>
      <c r="I927" s="3">
        <v>1</v>
      </c>
      <c r="J927" s="3">
        <v>30</v>
      </c>
      <c r="K927" s="3">
        <v>30</v>
      </c>
      <c r="L927" s="3">
        <f t="shared" si="29"/>
        <v>1.0846224726186651</v>
      </c>
    </row>
    <row r="928" spans="1:12" x14ac:dyDescent="0.3">
      <c r="A928" s="3">
        <v>927</v>
      </c>
      <c r="B928" s="4">
        <v>45101</v>
      </c>
      <c r="C928" s="9" t="str">
        <f t="shared" si="28"/>
        <v>June</v>
      </c>
      <c r="D928" s="3" t="s">
        <v>940</v>
      </c>
      <c r="E928" s="3" t="s">
        <v>10</v>
      </c>
      <c r="F928" s="3">
        <v>43</v>
      </c>
      <c r="G928" s="8" t="str" cm="1">
        <f t="array" ref="G928">_xlfn.IFS(
    F928 &lt; 25, "Young",
    F928 &lt;= 40, "Mid-Age",
    F928 &gt; 40, "Old-Age"
)</f>
        <v>Old-Age</v>
      </c>
      <c r="H928" s="3" t="s">
        <v>16</v>
      </c>
      <c r="I928" s="3">
        <v>4</v>
      </c>
      <c r="J928" s="3">
        <v>500</v>
      </c>
      <c r="K928" s="3">
        <v>2000</v>
      </c>
      <c r="L928" s="3">
        <f t="shared" si="29"/>
        <v>1.0640595909619972</v>
      </c>
    </row>
    <row r="929" spans="1:12" x14ac:dyDescent="0.3">
      <c r="A929" s="3">
        <v>928</v>
      </c>
      <c r="B929" s="4">
        <v>45021</v>
      </c>
      <c r="C929" s="9" t="str">
        <f t="shared" si="28"/>
        <v>April</v>
      </c>
      <c r="D929" s="3" t="s">
        <v>941</v>
      </c>
      <c r="E929" s="3" t="s">
        <v>13</v>
      </c>
      <c r="F929" s="3">
        <v>35</v>
      </c>
      <c r="G929" s="8" t="str" cm="1">
        <f t="array" ref="G929">_xlfn.IFS(
    F929 &lt; 25, "Young",
    F929 &lt;= 40, "Mid-Age",
    F929 &gt; 40, "Old-Age"
)</f>
        <v>Mid-Age</v>
      </c>
      <c r="H929" s="3" t="s">
        <v>14</v>
      </c>
      <c r="I929" s="3">
        <v>4</v>
      </c>
      <c r="J929" s="3">
        <v>300</v>
      </c>
      <c r="K929" s="3">
        <v>1200</v>
      </c>
      <c r="L929" s="3">
        <f t="shared" si="29"/>
        <v>1.1198390598748142</v>
      </c>
    </row>
    <row r="930" spans="1:12" x14ac:dyDescent="0.3">
      <c r="A930" s="3">
        <v>929</v>
      </c>
      <c r="B930" s="4">
        <v>44953</v>
      </c>
      <c r="C930" s="9" t="str">
        <f t="shared" si="28"/>
        <v>January</v>
      </c>
      <c r="D930" s="3" t="s">
        <v>942</v>
      </c>
      <c r="E930" s="3" t="s">
        <v>13</v>
      </c>
      <c r="F930" s="3">
        <v>23</v>
      </c>
      <c r="G930" s="8" t="str" cm="1">
        <f t="array" ref="G930">_xlfn.IFS(
    F930 &lt; 25, "Young",
    F930 &lt;= 40, "Mid-Age",
    F930 &gt; 40, "Old-Age"
)</f>
        <v>Young</v>
      </c>
      <c r="H930" s="3" t="s">
        <v>11</v>
      </c>
      <c r="I930" s="3">
        <v>3</v>
      </c>
      <c r="J930" s="3">
        <v>25</v>
      </c>
      <c r="K930" s="3">
        <v>75</v>
      </c>
      <c r="L930" s="3">
        <f t="shared" si="29"/>
        <v>1.1572161882978069</v>
      </c>
    </row>
    <row r="931" spans="1:12" x14ac:dyDescent="0.3">
      <c r="A931" s="3">
        <v>930</v>
      </c>
      <c r="B931" s="4">
        <v>45056</v>
      </c>
      <c r="C931" s="9" t="str">
        <f t="shared" si="28"/>
        <v>May</v>
      </c>
      <c r="D931" s="3" t="s">
        <v>943</v>
      </c>
      <c r="E931" s="3" t="s">
        <v>10</v>
      </c>
      <c r="F931" s="3">
        <v>54</v>
      </c>
      <c r="G931" s="8" t="str" cm="1">
        <f t="array" ref="G931">_xlfn.IFS(
    F931 &lt; 25, "Young",
    F931 &lt;= 40, "Mid-Age",
    F931 &gt; 40, "Old-Age"
)</f>
        <v>Old-Age</v>
      </c>
      <c r="H931" s="3" t="s">
        <v>14</v>
      </c>
      <c r="I931" s="3">
        <v>4</v>
      </c>
      <c r="J931" s="3">
        <v>50</v>
      </c>
      <c r="K931" s="3">
        <v>200</v>
      </c>
      <c r="L931" s="3">
        <f t="shared" si="29"/>
        <v>1.1360789870507273</v>
      </c>
    </row>
    <row r="932" spans="1:12" x14ac:dyDescent="0.3">
      <c r="A932" s="3">
        <v>931</v>
      </c>
      <c r="B932" s="4">
        <v>45171</v>
      </c>
      <c r="C932" s="9" t="str">
        <f t="shared" si="28"/>
        <v>September</v>
      </c>
      <c r="D932" s="3" t="s">
        <v>944</v>
      </c>
      <c r="E932" s="3" t="s">
        <v>10</v>
      </c>
      <c r="F932" s="3">
        <v>30</v>
      </c>
      <c r="G932" s="8" t="str" cm="1">
        <f t="array" ref="G932">_xlfn.IFS(
    F932 &lt; 25, "Young",
    F932 &lt;= 40, "Mid-Age",
    F932 &gt; 40, "Old-Age"
)</f>
        <v>Mid-Age</v>
      </c>
      <c r="H932" s="3" t="s">
        <v>11</v>
      </c>
      <c r="I932" s="3">
        <v>4</v>
      </c>
      <c r="J932" s="3">
        <v>30</v>
      </c>
      <c r="K932" s="3">
        <v>120</v>
      </c>
      <c r="L932" s="3">
        <f t="shared" si="29"/>
        <v>1.1141783991603134</v>
      </c>
    </row>
    <row r="933" spans="1:12" x14ac:dyDescent="0.3">
      <c r="A933" s="3">
        <v>932</v>
      </c>
      <c r="B933" s="4">
        <v>44985</v>
      </c>
      <c r="C933" s="9" t="str">
        <f t="shared" si="28"/>
        <v>February</v>
      </c>
      <c r="D933" s="3" t="s">
        <v>945</v>
      </c>
      <c r="E933" s="3" t="s">
        <v>13</v>
      </c>
      <c r="F933" s="3">
        <v>45</v>
      </c>
      <c r="G933" s="8" t="str" cm="1">
        <f t="array" ref="G933">_xlfn.IFS(
    F933 &lt; 25, "Young",
    F933 &lt;= 40, "Mid-Age",
    F933 &gt; 40, "Old-Age"
)</f>
        <v>Old-Age</v>
      </c>
      <c r="H933" s="3" t="s">
        <v>11</v>
      </c>
      <c r="I933" s="3">
        <v>4</v>
      </c>
      <c r="J933" s="3">
        <v>25</v>
      </c>
      <c r="K933" s="3">
        <v>100</v>
      </c>
      <c r="L933" s="3">
        <f t="shared" si="29"/>
        <v>1.0921445006788171</v>
      </c>
    </row>
    <row r="934" spans="1:12" x14ac:dyDescent="0.3">
      <c r="A934" s="3">
        <v>933</v>
      </c>
      <c r="B934" s="4">
        <v>44960</v>
      </c>
      <c r="C934" s="9" t="str">
        <f t="shared" si="28"/>
        <v>February</v>
      </c>
      <c r="D934" s="3" t="s">
        <v>946</v>
      </c>
      <c r="E934" s="3" t="s">
        <v>10</v>
      </c>
      <c r="F934" s="3">
        <v>22</v>
      </c>
      <c r="G934" s="8" t="str" cm="1">
        <f t="array" ref="G934">_xlfn.IFS(
    F934 &lt; 25, "Young",
    F934 &lt;= 40, "Mid-Age",
    F934 &gt; 40, "Old-Age"
)</f>
        <v>Young</v>
      </c>
      <c r="H934" s="3" t="s">
        <v>11</v>
      </c>
      <c r="I934" s="3">
        <v>1</v>
      </c>
      <c r="J934" s="3">
        <v>30</v>
      </c>
      <c r="K934" s="3">
        <v>30</v>
      </c>
      <c r="L934" s="3">
        <f t="shared" si="29"/>
        <v>1.0700375632239243</v>
      </c>
    </row>
    <row r="935" spans="1:12" x14ac:dyDescent="0.3">
      <c r="A935" s="3">
        <v>934</v>
      </c>
      <c r="B935" s="4">
        <v>45132</v>
      </c>
      <c r="C935" s="9" t="str">
        <f t="shared" si="28"/>
        <v>July</v>
      </c>
      <c r="D935" s="3" t="s">
        <v>947</v>
      </c>
      <c r="E935" s="3" t="s">
        <v>10</v>
      </c>
      <c r="F935" s="3">
        <v>30</v>
      </c>
      <c r="G935" s="8" t="str" cm="1">
        <f t="array" ref="G935">_xlfn.IFS(
    F935 &lt; 25, "Young",
    F935 &lt;= 40, "Mid-Age",
    F935 &gt; 40, "Old-Age"
)</f>
        <v>Mid-Age</v>
      </c>
      <c r="H935" s="3" t="s">
        <v>11</v>
      </c>
      <c r="I935" s="3">
        <v>1</v>
      </c>
      <c r="J935" s="3">
        <v>500</v>
      </c>
      <c r="K935" s="3">
        <v>500</v>
      </c>
      <c r="L935" s="3">
        <f t="shared" si="29"/>
        <v>1.0473249094199073</v>
      </c>
    </row>
    <row r="936" spans="1:12" x14ac:dyDescent="0.3">
      <c r="A936" s="3">
        <v>935</v>
      </c>
      <c r="B936" s="4">
        <v>45178</v>
      </c>
      <c r="C936" s="9" t="str">
        <f t="shared" si="28"/>
        <v>September</v>
      </c>
      <c r="D936" s="3" t="s">
        <v>948</v>
      </c>
      <c r="E936" s="3" t="s">
        <v>13</v>
      </c>
      <c r="F936" s="3">
        <v>34</v>
      </c>
      <c r="G936" s="8" t="str" cm="1">
        <f t="array" ref="G936">_xlfn.IFS(
    F936 &lt; 25, "Young",
    F936 &lt;= 40, "Mid-Age",
    F936 &gt; 40, "Old-Age"
)</f>
        <v>Mid-Age</v>
      </c>
      <c r="H936" s="3" t="s">
        <v>11</v>
      </c>
      <c r="I936" s="3">
        <v>1</v>
      </c>
      <c r="J936" s="3">
        <v>50</v>
      </c>
      <c r="K936" s="3">
        <v>50</v>
      </c>
      <c r="L936" s="3">
        <f t="shared" si="29"/>
        <v>1.1082455033979901</v>
      </c>
    </row>
    <row r="937" spans="1:12" x14ac:dyDescent="0.3">
      <c r="A937" s="3">
        <v>936</v>
      </c>
      <c r="B937" s="4">
        <v>44964</v>
      </c>
      <c r="C937" s="9" t="str">
        <f t="shared" si="28"/>
        <v>February</v>
      </c>
      <c r="D937" s="3" t="s">
        <v>949</v>
      </c>
      <c r="E937" s="3" t="s">
        <v>10</v>
      </c>
      <c r="F937" s="3">
        <v>57</v>
      </c>
      <c r="G937" s="8" t="str" cm="1">
        <f t="array" ref="G937">_xlfn.IFS(
    F937 &lt; 25, "Young",
    F937 &lt;= 40, "Mid-Age",
    F937 &gt; 40, "Old-Age"
)</f>
        <v>Old-Age</v>
      </c>
      <c r="H937" s="3" t="s">
        <v>11</v>
      </c>
      <c r="I937" s="3">
        <v>4</v>
      </c>
      <c r="J937" s="3">
        <v>50</v>
      </c>
      <c r="K937" s="3">
        <v>200</v>
      </c>
      <c r="L937" s="3">
        <f t="shared" si="29"/>
        <v>1.0846227181203238</v>
      </c>
    </row>
    <row r="938" spans="1:12" x14ac:dyDescent="0.3">
      <c r="A938" s="3">
        <v>937</v>
      </c>
      <c r="B938" s="4">
        <v>45222</v>
      </c>
      <c r="C938" s="9" t="str">
        <f t="shared" si="28"/>
        <v>October</v>
      </c>
      <c r="D938" s="3" t="s">
        <v>950</v>
      </c>
      <c r="E938" s="3" t="s">
        <v>13</v>
      </c>
      <c r="F938" s="3">
        <v>62</v>
      </c>
      <c r="G938" s="8" t="str" cm="1">
        <f t="array" ref="G938">_xlfn.IFS(
    F938 &lt; 25, "Young",
    F938 &lt;= 40, "Mid-Age",
    F938 &gt; 40, "Old-Age"
)</f>
        <v>Old-Age</v>
      </c>
      <c r="H938" s="3" t="s">
        <v>11</v>
      </c>
      <c r="I938" s="3">
        <v>1</v>
      </c>
      <c r="J938" s="3">
        <v>500</v>
      </c>
      <c r="K938" s="3">
        <v>500</v>
      </c>
      <c r="L938" s="3">
        <f t="shared" si="29"/>
        <v>1.060607584081487</v>
      </c>
    </row>
    <row r="939" spans="1:12" x14ac:dyDescent="0.3">
      <c r="A939" s="3">
        <v>938</v>
      </c>
      <c r="B939" s="4">
        <v>45249</v>
      </c>
      <c r="C939" s="9" t="str">
        <f t="shared" si="28"/>
        <v>November</v>
      </c>
      <c r="D939" s="3" t="s">
        <v>951</v>
      </c>
      <c r="E939" s="3" t="s">
        <v>10</v>
      </c>
      <c r="F939" s="3">
        <v>49</v>
      </c>
      <c r="G939" s="8" t="str" cm="1">
        <f t="array" ref="G939">_xlfn.IFS(
    F939 &lt; 25, "Young",
    F939 &lt;= 40, "Mid-Age",
    F939 &gt; 40, "Old-Age"
)</f>
        <v>Old-Age</v>
      </c>
      <c r="H939" s="3" t="s">
        <v>14</v>
      </c>
      <c r="I939" s="3">
        <v>4</v>
      </c>
      <c r="J939" s="3">
        <v>50</v>
      </c>
      <c r="K939" s="3">
        <v>200</v>
      </c>
      <c r="L939" s="3">
        <f t="shared" si="29"/>
        <v>1.1243264854567103</v>
      </c>
    </row>
    <row r="940" spans="1:12" x14ac:dyDescent="0.3">
      <c r="A940" s="3">
        <v>939</v>
      </c>
      <c r="B940" s="4">
        <v>45278</v>
      </c>
      <c r="C940" s="9" t="str">
        <f t="shared" si="28"/>
        <v>December</v>
      </c>
      <c r="D940" s="3" t="s">
        <v>952</v>
      </c>
      <c r="E940" s="3" t="s">
        <v>13</v>
      </c>
      <c r="F940" s="3">
        <v>46</v>
      </c>
      <c r="G940" s="8" t="str" cm="1">
        <f t="array" ref="G940">_xlfn.IFS(
    F940 &lt; 25, "Young",
    F940 &lt;= 40, "Mid-Age",
    F940 &gt; 40, "Old-Age"
)</f>
        <v>Old-Age</v>
      </c>
      <c r="H940" s="3" t="s">
        <v>16</v>
      </c>
      <c r="I940" s="3">
        <v>1</v>
      </c>
      <c r="J940" s="3">
        <v>300</v>
      </c>
      <c r="K940" s="3">
        <v>300</v>
      </c>
      <c r="L940" s="3">
        <f t="shared" si="29"/>
        <v>1.0995880194598382</v>
      </c>
    </row>
    <row r="941" spans="1:12" x14ac:dyDescent="0.3">
      <c r="A941" s="3">
        <v>940</v>
      </c>
      <c r="B941" s="4">
        <v>44954</v>
      </c>
      <c r="C941" s="9" t="str">
        <f t="shared" si="28"/>
        <v>January</v>
      </c>
      <c r="D941" s="3" t="s">
        <v>953</v>
      </c>
      <c r="E941" s="3" t="s">
        <v>13</v>
      </c>
      <c r="F941" s="3">
        <v>20</v>
      </c>
      <c r="G941" s="8" t="str" cm="1">
        <f t="array" ref="G941">_xlfn.IFS(
    F941 &lt; 25, "Young",
    F941 &lt;= 40, "Mid-Age",
    F941 &gt; 40, "Old-Age"
)</f>
        <v>Young</v>
      </c>
      <c r="H941" s="3" t="s">
        <v>16</v>
      </c>
      <c r="I941" s="3">
        <v>1</v>
      </c>
      <c r="J941" s="3">
        <v>30</v>
      </c>
      <c r="K941" s="3">
        <v>30</v>
      </c>
      <c r="L941" s="3">
        <f t="shared" si="29"/>
        <v>1.1439140558307126</v>
      </c>
    </row>
    <row r="942" spans="1:12" x14ac:dyDescent="0.3">
      <c r="A942" s="3">
        <v>941</v>
      </c>
      <c r="B942" s="4">
        <v>45004</v>
      </c>
      <c r="C942" s="9" t="str">
        <f t="shared" si="28"/>
        <v>March</v>
      </c>
      <c r="D942" s="3" t="s">
        <v>954</v>
      </c>
      <c r="E942" s="3" t="s">
        <v>13</v>
      </c>
      <c r="F942" s="3">
        <v>57</v>
      </c>
      <c r="G942" s="8" t="str" cm="1">
        <f t="array" ref="G942">_xlfn.IFS(
    F942 &lt; 25, "Young",
    F942 &lt;= 40, "Mid-Age",
    F942 &gt; 40, "Old-Age"
)</f>
        <v>Old-Age</v>
      </c>
      <c r="H942" s="3" t="s">
        <v>14</v>
      </c>
      <c r="I942" s="3">
        <v>2</v>
      </c>
      <c r="J942" s="3">
        <v>25</v>
      </c>
      <c r="K942" s="3">
        <v>50</v>
      </c>
      <c r="L942" s="3">
        <f t="shared" si="29"/>
        <v>1.118590121321047</v>
      </c>
    </row>
    <row r="943" spans="1:12" x14ac:dyDescent="0.3">
      <c r="A943" s="3">
        <v>942</v>
      </c>
      <c r="B943" s="4">
        <v>45003</v>
      </c>
      <c r="C943" s="9" t="str">
        <f t="shared" si="28"/>
        <v>March</v>
      </c>
      <c r="D943" s="3" t="s">
        <v>955</v>
      </c>
      <c r="E943" s="3" t="s">
        <v>10</v>
      </c>
      <c r="F943" s="3">
        <v>51</v>
      </c>
      <c r="G943" s="8" t="str" cm="1">
        <f t="array" ref="G943">_xlfn.IFS(
    F943 &lt; 25, "Young",
    F943 &lt;= 40, "Mid-Age",
    F943 &gt; 40, "Old-Age"
)</f>
        <v>Old-Age</v>
      </c>
      <c r="H943" s="3" t="s">
        <v>14</v>
      </c>
      <c r="I943" s="3">
        <v>3</v>
      </c>
      <c r="J943" s="3">
        <v>500</v>
      </c>
      <c r="K943" s="3">
        <v>1500</v>
      </c>
      <c r="L943" s="3">
        <f t="shared" si="29"/>
        <v>1.0931287796194107</v>
      </c>
    </row>
    <row r="944" spans="1:12" x14ac:dyDescent="0.3">
      <c r="A944" s="3">
        <v>943</v>
      </c>
      <c r="B944" s="4">
        <v>45215</v>
      </c>
      <c r="C944" s="9" t="str">
        <f t="shared" si="28"/>
        <v>October</v>
      </c>
      <c r="D944" s="3" t="s">
        <v>956</v>
      </c>
      <c r="E944" s="3" t="s">
        <v>13</v>
      </c>
      <c r="F944" s="3">
        <v>57</v>
      </c>
      <c r="G944" s="8" t="str" cm="1">
        <f t="array" ref="G944">_xlfn.IFS(
    F944 &lt; 25, "Young",
    F944 &lt;= 40, "Mid-Age",
    F944 &gt; 40, "Old-Age"
)</f>
        <v>Old-Age</v>
      </c>
      <c r="H944" s="3" t="s">
        <v>14</v>
      </c>
      <c r="I944" s="3">
        <v>4</v>
      </c>
      <c r="J944" s="3">
        <v>300</v>
      </c>
      <c r="K944" s="3">
        <v>1200</v>
      </c>
      <c r="L944" s="3">
        <f t="shared" si="29"/>
        <v>1.1643452239899474</v>
      </c>
    </row>
    <row r="945" spans="1:12" x14ac:dyDescent="0.3">
      <c r="A945" s="3">
        <v>944</v>
      </c>
      <c r="B945" s="4">
        <v>45082</v>
      </c>
      <c r="C945" s="9" t="str">
        <f t="shared" si="28"/>
        <v>June</v>
      </c>
      <c r="D945" s="3" t="s">
        <v>957</v>
      </c>
      <c r="E945" s="3" t="s">
        <v>10</v>
      </c>
      <c r="F945" s="3">
        <v>44</v>
      </c>
      <c r="G945" s="8" t="str" cm="1">
        <f t="array" ref="G945">_xlfn.IFS(
    F945 &lt; 25, "Young",
    F945 &lt;= 40, "Mid-Age",
    F945 &gt; 40, "Old-Age"
)</f>
        <v>Old-Age</v>
      </c>
      <c r="H945" s="3" t="s">
        <v>14</v>
      </c>
      <c r="I945" s="3">
        <v>2</v>
      </c>
      <c r="J945" s="3">
        <v>25</v>
      </c>
      <c r="K945" s="3">
        <v>50</v>
      </c>
      <c r="L945" s="3">
        <f t="shared" si="29"/>
        <v>1.2152711698318632</v>
      </c>
    </row>
    <row r="946" spans="1:12" x14ac:dyDescent="0.3">
      <c r="A946" s="3">
        <v>945</v>
      </c>
      <c r="B946" s="4">
        <v>44970</v>
      </c>
      <c r="C946" s="9" t="str">
        <f t="shared" si="28"/>
        <v>February</v>
      </c>
      <c r="D946" s="3" t="s">
        <v>958</v>
      </c>
      <c r="E946" s="3" t="s">
        <v>10</v>
      </c>
      <c r="F946" s="3">
        <v>30</v>
      </c>
      <c r="G946" s="8" t="str" cm="1">
        <f t="array" ref="G946">_xlfn.IFS(
    F946 &lt; 25, "Young",
    F946 &lt;= 40, "Mid-Age",
    F946 &gt; 40, "Old-Age"
)</f>
        <v>Mid-Age</v>
      </c>
      <c r="H946" s="3" t="s">
        <v>11</v>
      </c>
      <c r="I946" s="3">
        <v>1</v>
      </c>
      <c r="J946" s="3">
        <v>25</v>
      </c>
      <c r="K946" s="3">
        <v>25</v>
      </c>
      <c r="L946" s="3">
        <f t="shared" si="29"/>
        <v>1.1885180491545502</v>
      </c>
    </row>
    <row r="947" spans="1:12" x14ac:dyDescent="0.3">
      <c r="A947" s="3">
        <v>946</v>
      </c>
      <c r="B947" s="4">
        <v>45054</v>
      </c>
      <c r="C947" s="9" t="str">
        <f t="shared" si="28"/>
        <v>May</v>
      </c>
      <c r="D947" s="3" t="s">
        <v>959</v>
      </c>
      <c r="E947" s="3" t="s">
        <v>10</v>
      </c>
      <c r="F947" s="3">
        <v>62</v>
      </c>
      <c r="G947" s="8" t="str" cm="1">
        <f t="array" ref="G947">_xlfn.IFS(
    F947 &lt; 25, "Young",
    F947 &lt;= 40, "Mid-Age",
    F947 &gt; 40, "Old-Age"
)</f>
        <v>Old-Age</v>
      </c>
      <c r="H947" s="3" t="s">
        <v>16</v>
      </c>
      <c r="I947" s="3">
        <v>4</v>
      </c>
      <c r="J947" s="3">
        <v>500</v>
      </c>
      <c r="K947" s="3">
        <v>2000</v>
      </c>
      <c r="L947" s="3">
        <f t="shared" si="29"/>
        <v>1.1612922697198029</v>
      </c>
    </row>
    <row r="948" spans="1:12" x14ac:dyDescent="0.3">
      <c r="A948" s="3">
        <v>947</v>
      </c>
      <c r="B948" s="4">
        <v>44987</v>
      </c>
      <c r="C948" s="9" t="str">
        <f t="shared" si="28"/>
        <v>March</v>
      </c>
      <c r="D948" s="3" t="s">
        <v>960</v>
      </c>
      <c r="E948" s="3" t="s">
        <v>10</v>
      </c>
      <c r="F948" s="3">
        <v>50</v>
      </c>
      <c r="G948" s="8" t="str" cm="1">
        <f t="array" ref="G948">_xlfn.IFS(
    F948 &lt; 25, "Young",
    F948 &lt;= 40, "Mid-Age",
    F948 &gt; 40, "Old-Age"
)</f>
        <v>Old-Age</v>
      </c>
      <c r="H948" s="3" t="s">
        <v>11</v>
      </c>
      <c r="I948" s="3">
        <v>1</v>
      </c>
      <c r="J948" s="3">
        <v>300</v>
      </c>
      <c r="K948" s="3">
        <v>300</v>
      </c>
      <c r="L948" s="3">
        <f t="shared" si="29"/>
        <v>1.2424759033669708</v>
      </c>
    </row>
    <row r="949" spans="1:12" x14ac:dyDescent="0.3">
      <c r="A949" s="3">
        <v>948</v>
      </c>
      <c r="B949" s="4">
        <v>45212</v>
      </c>
      <c r="C949" s="9" t="str">
        <f t="shared" si="28"/>
        <v>October</v>
      </c>
      <c r="D949" s="3" t="s">
        <v>961</v>
      </c>
      <c r="E949" s="3" t="s">
        <v>13</v>
      </c>
      <c r="F949" s="3">
        <v>23</v>
      </c>
      <c r="G949" s="8" t="str" cm="1">
        <f t="array" ref="G949">_xlfn.IFS(
    F949 &lt; 25, "Young",
    F949 &lt;= 40, "Mid-Age",
    F949 &gt; 40, "Old-Age"
)</f>
        <v>Young</v>
      </c>
      <c r="H949" s="3" t="s">
        <v>16</v>
      </c>
      <c r="I949" s="3">
        <v>3</v>
      </c>
      <c r="J949" s="3">
        <v>25</v>
      </c>
      <c r="K949" s="3">
        <v>75</v>
      </c>
      <c r="L949" s="3">
        <f t="shared" si="29"/>
        <v>1.3020800180224006</v>
      </c>
    </row>
    <row r="950" spans="1:12" x14ac:dyDescent="0.3">
      <c r="A950" s="3">
        <v>949</v>
      </c>
      <c r="B950" s="4">
        <v>45140</v>
      </c>
      <c r="C950" s="9" t="str">
        <f t="shared" si="28"/>
        <v>August</v>
      </c>
      <c r="D950" s="3" t="s">
        <v>962</v>
      </c>
      <c r="E950" s="3" t="s">
        <v>13</v>
      </c>
      <c r="F950" s="3">
        <v>41</v>
      </c>
      <c r="G950" s="8" t="str" cm="1">
        <f t="array" ref="G950">_xlfn.IFS(
    F950 &lt; 25, "Young",
    F950 &lt;= 40, "Mid-Age",
    F950 &gt; 40, "Old-Age"
)</f>
        <v>Old-Age</v>
      </c>
      <c r="H950" s="3" t="s">
        <v>16</v>
      </c>
      <c r="I950" s="3">
        <v>2</v>
      </c>
      <c r="J950" s="3">
        <v>25</v>
      </c>
      <c r="K950" s="3">
        <v>50</v>
      </c>
      <c r="L950" s="3">
        <f t="shared" si="29"/>
        <v>1.2733220080972407</v>
      </c>
    </row>
    <row r="951" spans="1:12" x14ac:dyDescent="0.3">
      <c r="A951" s="3">
        <v>950</v>
      </c>
      <c r="B951" s="4">
        <v>45237</v>
      </c>
      <c r="C951" s="9" t="str">
        <f t="shared" si="28"/>
        <v>November</v>
      </c>
      <c r="D951" s="3" t="s">
        <v>963</v>
      </c>
      <c r="E951" s="3" t="s">
        <v>10</v>
      </c>
      <c r="F951" s="3">
        <v>36</v>
      </c>
      <c r="G951" s="8" t="str" cm="1">
        <f t="array" ref="G951">_xlfn.IFS(
    F951 &lt; 25, "Young",
    F951 &lt;= 40, "Mid-Age",
    F951 &gt; 40, "Old-Age"
)</f>
        <v>Mid-Age</v>
      </c>
      <c r="H951" s="3" t="s">
        <v>14</v>
      </c>
      <c r="I951" s="3">
        <v>3</v>
      </c>
      <c r="J951" s="3">
        <v>300</v>
      </c>
      <c r="K951" s="3">
        <v>900</v>
      </c>
      <c r="L951" s="3">
        <f t="shared" si="29"/>
        <v>1.2440353082309916</v>
      </c>
    </row>
    <row r="952" spans="1:12" x14ac:dyDescent="0.3">
      <c r="A952" s="3">
        <v>951</v>
      </c>
      <c r="B952" s="4">
        <v>45232</v>
      </c>
      <c r="C952" s="9" t="str">
        <f t="shared" si="28"/>
        <v>November</v>
      </c>
      <c r="D952" s="3" t="s">
        <v>964</v>
      </c>
      <c r="E952" s="3" t="s">
        <v>10</v>
      </c>
      <c r="F952" s="3">
        <v>33</v>
      </c>
      <c r="G952" s="8" t="str" cm="1">
        <f t="array" ref="G952">_xlfn.IFS(
    F952 &lt; 25, "Young",
    F952 &lt;= 40, "Mid-Age",
    F952 &gt; 40, "Old-Age"
)</f>
        <v>Mid-Age</v>
      </c>
      <c r="H952" s="3" t="s">
        <v>11</v>
      </c>
      <c r="I952" s="3">
        <v>2</v>
      </c>
      <c r="J952" s="3">
        <v>50</v>
      </c>
      <c r="K952" s="3">
        <v>100</v>
      </c>
      <c r="L952" s="3">
        <f t="shared" si="29"/>
        <v>1.3059024907183743</v>
      </c>
    </row>
    <row r="953" spans="1:12" x14ac:dyDescent="0.3">
      <c r="A953" s="3">
        <v>952</v>
      </c>
      <c r="B953" s="4">
        <v>45243</v>
      </c>
      <c r="C953" s="9" t="str">
        <f t="shared" si="28"/>
        <v>November</v>
      </c>
      <c r="D953" s="3" t="s">
        <v>965</v>
      </c>
      <c r="E953" s="3" t="s">
        <v>13</v>
      </c>
      <c r="F953" s="3">
        <v>57</v>
      </c>
      <c r="G953" s="8" t="str" cm="1">
        <f t="array" ref="G953">_xlfn.IFS(
    F953 &lt; 25, "Young",
    F953 &lt;= 40, "Mid-Age",
    F953 &gt; 40, "Old-Age"
)</f>
        <v>Old-Age</v>
      </c>
      <c r="H953" s="3" t="s">
        <v>14</v>
      </c>
      <c r="I953" s="3">
        <v>1</v>
      </c>
      <c r="J953" s="3">
        <v>25</v>
      </c>
      <c r="K953" s="3">
        <v>25</v>
      </c>
      <c r="L953" s="3">
        <f t="shared" si="29"/>
        <v>1.274754650892868</v>
      </c>
    </row>
    <row r="954" spans="1:12" x14ac:dyDescent="0.3">
      <c r="A954" s="3">
        <v>953</v>
      </c>
      <c r="B954" s="4">
        <v>45042</v>
      </c>
      <c r="C954" s="9" t="str">
        <f t="shared" si="28"/>
        <v>April</v>
      </c>
      <c r="D954" s="3" t="s">
        <v>966</v>
      </c>
      <c r="E954" s="3" t="s">
        <v>10</v>
      </c>
      <c r="F954" s="3">
        <v>45</v>
      </c>
      <c r="G954" s="8" t="str" cm="1">
        <f t="array" ref="G954">_xlfn.IFS(
    F954 &lt; 25, "Young",
    F954 &lt;= 40, "Mid-Age",
    F954 &gt; 40, "Old-Age"
)</f>
        <v>Old-Age</v>
      </c>
      <c r="H954" s="3" t="s">
        <v>11</v>
      </c>
      <c r="I954" s="3">
        <v>3</v>
      </c>
      <c r="J954" s="3">
        <v>30</v>
      </c>
      <c r="K954" s="3">
        <v>90</v>
      </c>
      <c r="L954" s="3">
        <f t="shared" si="29"/>
        <v>1.2435714603683747</v>
      </c>
    </row>
    <row r="955" spans="1:12" x14ac:dyDescent="0.3">
      <c r="A955" s="3">
        <v>954</v>
      </c>
      <c r="B955" s="4">
        <v>45194</v>
      </c>
      <c r="C955" s="9" t="str">
        <f t="shared" si="28"/>
        <v>September</v>
      </c>
      <c r="D955" s="3" t="s">
        <v>967</v>
      </c>
      <c r="E955" s="3" t="s">
        <v>13</v>
      </c>
      <c r="F955" s="3">
        <v>50</v>
      </c>
      <c r="G955" s="8" t="str" cm="1">
        <f t="array" ref="G955">_xlfn.IFS(
    F955 &lt; 25, "Young",
    F955 &lt;= 40, "Mid-Age",
    F955 &gt; 40, "Old-Age"
)</f>
        <v>Old-Age</v>
      </c>
      <c r="H955" s="3" t="s">
        <v>16</v>
      </c>
      <c r="I955" s="3">
        <v>3</v>
      </c>
      <c r="J955" s="3">
        <v>300</v>
      </c>
      <c r="K955" s="3">
        <v>900</v>
      </c>
      <c r="L955" s="3">
        <f t="shared" si="29"/>
        <v>1.2113547081191809</v>
      </c>
    </row>
    <row r="956" spans="1:12" x14ac:dyDescent="0.3">
      <c r="A956" s="3">
        <v>955</v>
      </c>
      <c r="B956" s="4">
        <v>45121</v>
      </c>
      <c r="C956" s="9" t="str">
        <f t="shared" si="28"/>
        <v>July</v>
      </c>
      <c r="D956" s="3" t="s">
        <v>968</v>
      </c>
      <c r="E956" s="3" t="s">
        <v>10</v>
      </c>
      <c r="F956" s="3">
        <v>58</v>
      </c>
      <c r="G956" s="8" t="str" cm="1">
        <f t="array" ref="G956">_xlfn.IFS(
    F956 &lt; 25, "Young",
    F956 &lt;= 40, "Mid-Age",
    F956 &gt; 40, "Old-Age"
)</f>
        <v>Old-Age</v>
      </c>
      <c r="H956" s="3" t="s">
        <v>14</v>
      </c>
      <c r="I956" s="3">
        <v>1</v>
      </c>
      <c r="J956" s="3">
        <v>25</v>
      </c>
      <c r="K956" s="3">
        <v>25</v>
      </c>
      <c r="L956" s="3">
        <f t="shared" si="29"/>
        <v>1.2749693495411059</v>
      </c>
    </row>
    <row r="957" spans="1:12" x14ac:dyDescent="0.3">
      <c r="A957" s="3">
        <v>956</v>
      </c>
      <c r="B957" s="4">
        <v>45157</v>
      </c>
      <c r="C957" s="9" t="str">
        <f t="shared" si="28"/>
        <v>August</v>
      </c>
      <c r="D957" s="3" t="s">
        <v>969</v>
      </c>
      <c r="E957" s="3" t="s">
        <v>10</v>
      </c>
      <c r="F957" s="3">
        <v>30</v>
      </c>
      <c r="G957" s="8" t="str" cm="1">
        <f t="array" ref="G957">_xlfn.IFS(
    F957 &lt; 25, "Young",
    F957 &lt;= 40, "Mid-Age",
    F957 &gt; 40, "Old-Age"
)</f>
        <v>Mid-Age</v>
      </c>
      <c r="H957" s="3" t="s">
        <v>14</v>
      </c>
      <c r="I957" s="3">
        <v>3</v>
      </c>
      <c r="J957" s="3">
        <v>500</v>
      </c>
      <c r="K957" s="3">
        <v>1500</v>
      </c>
      <c r="L957" s="3">
        <f t="shared" si="29"/>
        <v>1.2416862214341131</v>
      </c>
    </row>
    <row r="958" spans="1:12" x14ac:dyDescent="0.3">
      <c r="A958" s="3">
        <v>957</v>
      </c>
      <c r="B958" s="4">
        <v>45153</v>
      </c>
      <c r="C958" s="9" t="str">
        <f t="shared" si="28"/>
        <v>August</v>
      </c>
      <c r="D958" s="3" t="s">
        <v>970</v>
      </c>
      <c r="E958" s="3" t="s">
        <v>13</v>
      </c>
      <c r="F958" s="3">
        <v>60</v>
      </c>
      <c r="G958" s="8" t="str" cm="1">
        <f t="array" ref="G958">_xlfn.IFS(
    F958 &lt; 25, "Young",
    F958 &lt;= 40, "Mid-Age",
    F958 &gt; 40, "Old-Age"
)</f>
        <v>Old-Age</v>
      </c>
      <c r="H958" s="3" t="s">
        <v>16</v>
      </c>
      <c r="I958" s="3">
        <v>4</v>
      </c>
      <c r="J958" s="3">
        <v>30</v>
      </c>
      <c r="K958" s="3">
        <v>120</v>
      </c>
      <c r="L958" s="3">
        <f t="shared" si="29"/>
        <v>1.3534119606285298</v>
      </c>
    </row>
    <row r="959" spans="1:12" x14ac:dyDescent="0.3">
      <c r="A959" s="3">
        <v>958</v>
      </c>
      <c r="B959" s="4">
        <v>45079</v>
      </c>
      <c r="C959" s="9" t="str">
        <f t="shared" si="28"/>
        <v>June</v>
      </c>
      <c r="D959" s="3" t="s">
        <v>971</v>
      </c>
      <c r="E959" s="3" t="s">
        <v>10</v>
      </c>
      <c r="F959" s="3">
        <v>62</v>
      </c>
      <c r="G959" s="8" t="str" cm="1">
        <f t="array" ref="G959">_xlfn.IFS(
    F959 &lt; 25, "Young",
    F959 &lt;= 40, "Mid-Age",
    F959 &gt; 40, "Old-Age"
)</f>
        <v>Old-Age</v>
      </c>
      <c r="H959" s="3" t="s">
        <v>16</v>
      </c>
      <c r="I959" s="3">
        <v>2</v>
      </c>
      <c r="J959" s="3">
        <v>25</v>
      </c>
      <c r="K959" s="3">
        <v>50</v>
      </c>
      <c r="L959" s="3">
        <f t="shared" si="29"/>
        <v>1.3182315543492902</v>
      </c>
    </row>
    <row r="960" spans="1:12" x14ac:dyDescent="0.3">
      <c r="A960" s="3">
        <v>959</v>
      </c>
      <c r="B960" s="4">
        <v>45228</v>
      </c>
      <c r="C960" s="9" t="str">
        <f t="shared" si="28"/>
        <v>October</v>
      </c>
      <c r="D960" s="3" t="s">
        <v>972</v>
      </c>
      <c r="E960" s="3" t="s">
        <v>13</v>
      </c>
      <c r="F960" s="3">
        <v>42</v>
      </c>
      <c r="G960" s="8" t="str" cm="1">
        <f t="array" ref="G960">_xlfn.IFS(
    F960 &lt; 25, "Young",
    F960 &lt;= 40, "Mid-Age",
    F960 &gt; 40, "Old-Age"
)</f>
        <v>Old-Age</v>
      </c>
      <c r="H960" s="3" t="s">
        <v>16</v>
      </c>
      <c r="I960" s="3">
        <v>2</v>
      </c>
      <c r="J960" s="3">
        <v>30</v>
      </c>
      <c r="K960" s="3">
        <v>60</v>
      </c>
      <c r="L960" s="3">
        <f t="shared" si="29"/>
        <v>1.2827244823470809</v>
      </c>
    </row>
    <row r="961" spans="1:12" x14ac:dyDescent="0.3">
      <c r="A961" s="3">
        <v>960</v>
      </c>
      <c r="B961" s="4">
        <v>45146</v>
      </c>
      <c r="C961" s="9" t="str">
        <f t="shared" si="28"/>
        <v>August</v>
      </c>
      <c r="D961" s="3" t="s">
        <v>973</v>
      </c>
      <c r="E961" s="3" t="s">
        <v>10</v>
      </c>
      <c r="F961" s="3">
        <v>59</v>
      </c>
      <c r="G961" s="8" t="str" cm="1">
        <f t="array" ref="G961">_xlfn.IFS(
    F961 &lt; 25, "Young",
    F961 &lt;= 40, "Mid-Age",
    F961 &gt; 40, "Old-Age"
)</f>
        <v>Old-Age</v>
      </c>
      <c r="H961" s="3" t="s">
        <v>14</v>
      </c>
      <c r="I961" s="3">
        <v>2</v>
      </c>
      <c r="J961" s="3">
        <v>30</v>
      </c>
      <c r="K961" s="3">
        <v>60</v>
      </c>
      <c r="L961" s="3">
        <f t="shared" si="29"/>
        <v>1.2459074181896921</v>
      </c>
    </row>
    <row r="962" spans="1:12" x14ac:dyDescent="0.3">
      <c r="A962" s="3">
        <v>961</v>
      </c>
      <c r="B962" s="4">
        <v>45083</v>
      </c>
      <c r="C962" s="9" t="str">
        <f t="shared" ref="C962:C1001" si="30">TEXT(B962,"mmmm")</f>
        <v>June</v>
      </c>
      <c r="D962" s="3" t="s">
        <v>974</v>
      </c>
      <c r="E962" s="3" t="s">
        <v>10</v>
      </c>
      <c r="F962" s="3">
        <v>53</v>
      </c>
      <c r="G962" s="8" t="str" cm="1">
        <f t="array" ref="G962">_xlfn.IFS(
    F962 &lt; 25, "Young",
    F962 &lt;= 40, "Mid-Age",
    F962 &gt; 40, "Old-Age"
)</f>
        <v>Old-Age</v>
      </c>
      <c r="H962" s="3" t="s">
        <v>11</v>
      </c>
      <c r="I962" s="3">
        <v>4</v>
      </c>
      <c r="J962" s="3">
        <v>50</v>
      </c>
      <c r="K962" s="3">
        <v>200</v>
      </c>
      <c r="L962" s="3">
        <f t="shared" ref="L962:L1001" si="31">SKEW(J962:J1961)</f>
        <v>1.2081845126717687</v>
      </c>
    </row>
    <row r="963" spans="1:12" x14ac:dyDescent="0.3">
      <c r="A963" s="3">
        <v>962</v>
      </c>
      <c r="B963" s="4">
        <v>45218</v>
      </c>
      <c r="C963" s="9" t="str">
        <f t="shared" si="30"/>
        <v>October</v>
      </c>
      <c r="D963" s="3" t="s">
        <v>975</v>
      </c>
      <c r="E963" s="3" t="s">
        <v>10</v>
      </c>
      <c r="F963" s="3">
        <v>44</v>
      </c>
      <c r="G963" s="8" t="str" cm="1">
        <f t="array" ref="G963">_xlfn.IFS(
    F963 &lt; 25, "Young",
    F963 &lt;= 40, "Mid-Age",
    F963 &gt; 40, "Old-Age"
)</f>
        <v>Old-Age</v>
      </c>
      <c r="H963" s="3" t="s">
        <v>14</v>
      </c>
      <c r="I963" s="3">
        <v>2</v>
      </c>
      <c r="J963" s="3">
        <v>30</v>
      </c>
      <c r="K963" s="3">
        <v>60</v>
      </c>
      <c r="L963" s="3">
        <f t="shared" si="31"/>
        <v>1.168960117932307</v>
      </c>
    </row>
    <row r="964" spans="1:12" x14ac:dyDescent="0.3">
      <c r="A964" s="3">
        <v>963</v>
      </c>
      <c r="B964" s="4">
        <v>45244</v>
      </c>
      <c r="C964" s="9" t="str">
        <f t="shared" si="30"/>
        <v>November</v>
      </c>
      <c r="D964" s="3" t="s">
        <v>976</v>
      </c>
      <c r="E964" s="3" t="s">
        <v>13</v>
      </c>
      <c r="F964" s="3">
        <v>55</v>
      </c>
      <c r="G964" s="8" t="str" cm="1">
        <f t="array" ref="G964">_xlfn.IFS(
    F964 &lt; 25, "Young",
    F964 &lt;= 40, "Mid-Age",
    F964 &gt; 40, "Old-Age"
)</f>
        <v>Old-Age</v>
      </c>
      <c r="H964" s="3" t="s">
        <v>11</v>
      </c>
      <c r="I964" s="3">
        <v>1</v>
      </c>
      <c r="J964" s="3">
        <v>50</v>
      </c>
      <c r="K964" s="3">
        <v>50</v>
      </c>
      <c r="L964" s="3">
        <f t="shared" si="31"/>
        <v>1.1291656632072158</v>
      </c>
    </row>
    <row r="965" spans="1:12" x14ac:dyDescent="0.3">
      <c r="A965" s="3">
        <v>964</v>
      </c>
      <c r="B965" s="4">
        <v>44957</v>
      </c>
      <c r="C965" s="9" t="str">
        <f t="shared" si="30"/>
        <v>January</v>
      </c>
      <c r="D965" s="3" t="s">
        <v>977</v>
      </c>
      <c r="E965" s="3" t="s">
        <v>10</v>
      </c>
      <c r="F965" s="3">
        <v>24</v>
      </c>
      <c r="G965" s="8" t="str" cm="1">
        <f t="array" ref="G965">_xlfn.IFS(
    F965 &lt; 25, "Young",
    F965 &lt;= 40, "Mid-Age",
    F965 &gt; 40, "Old-Age"
)</f>
        <v>Young</v>
      </c>
      <c r="H965" s="3" t="s">
        <v>14</v>
      </c>
      <c r="I965" s="3">
        <v>3</v>
      </c>
      <c r="J965" s="3">
        <v>300</v>
      </c>
      <c r="K965" s="3">
        <v>900</v>
      </c>
      <c r="L965" s="3">
        <f t="shared" si="31"/>
        <v>1.0876714050900431</v>
      </c>
    </row>
    <row r="966" spans="1:12" x14ac:dyDescent="0.3">
      <c r="A966" s="3">
        <v>965</v>
      </c>
      <c r="B966" s="4">
        <v>45239</v>
      </c>
      <c r="C966" s="9" t="str">
        <f t="shared" si="30"/>
        <v>November</v>
      </c>
      <c r="D966" s="3" t="s">
        <v>978</v>
      </c>
      <c r="E966" s="3" t="s">
        <v>10</v>
      </c>
      <c r="F966" s="3">
        <v>22</v>
      </c>
      <c r="G966" s="8" t="str" cm="1">
        <f t="array" ref="G966">_xlfn.IFS(
    F966 &lt; 25, "Young",
    F966 &lt;= 40, "Mid-Age",
    F966 &gt; 40, "Old-Age"
)</f>
        <v>Young</v>
      </c>
      <c r="H966" s="3" t="s">
        <v>14</v>
      </c>
      <c r="I966" s="3">
        <v>4</v>
      </c>
      <c r="J966" s="3">
        <v>50</v>
      </c>
      <c r="K966" s="3">
        <v>200</v>
      </c>
      <c r="L966" s="3">
        <f t="shared" si="31"/>
        <v>1.1594227398905668</v>
      </c>
    </row>
    <row r="967" spans="1:12" x14ac:dyDescent="0.3">
      <c r="A967" s="3">
        <v>966</v>
      </c>
      <c r="B967" s="4">
        <v>44977</v>
      </c>
      <c r="C967" s="9" t="str">
        <f t="shared" si="30"/>
        <v>February</v>
      </c>
      <c r="D967" s="3" t="s">
        <v>979</v>
      </c>
      <c r="E967" s="3" t="s">
        <v>10</v>
      </c>
      <c r="F967" s="3">
        <v>60</v>
      </c>
      <c r="G967" s="8" t="str" cm="1">
        <f t="array" ref="G967">_xlfn.IFS(
    F967 &lt; 25, "Young",
    F967 &lt;= 40, "Mid-Age",
    F967 &gt; 40, "Old-Age"
)</f>
        <v>Old-Age</v>
      </c>
      <c r="H967" s="3" t="s">
        <v>16</v>
      </c>
      <c r="I967" s="3">
        <v>2</v>
      </c>
      <c r="J967" s="3">
        <v>500</v>
      </c>
      <c r="K967" s="3">
        <v>1000</v>
      </c>
      <c r="L967" s="3">
        <f t="shared" si="31"/>
        <v>1.1156821133562294</v>
      </c>
    </row>
    <row r="968" spans="1:12" x14ac:dyDescent="0.3">
      <c r="A968" s="3">
        <v>967</v>
      </c>
      <c r="B968" s="4">
        <v>45033</v>
      </c>
      <c r="C968" s="9" t="str">
        <f t="shared" si="30"/>
        <v>April</v>
      </c>
      <c r="D968" s="3" t="s">
        <v>980</v>
      </c>
      <c r="E968" s="3" t="s">
        <v>10</v>
      </c>
      <c r="F968" s="3">
        <v>62</v>
      </c>
      <c r="G968" s="8" t="str" cm="1">
        <f t="array" ref="G968">_xlfn.IFS(
    F968 &lt; 25, "Young",
    F968 &lt;= 40, "Mid-Age",
    F968 &gt; 40, "Old-Age"
)</f>
        <v>Old-Age</v>
      </c>
      <c r="H968" s="3" t="s">
        <v>11</v>
      </c>
      <c r="I968" s="3">
        <v>1</v>
      </c>
      <c r="J968" s="3">
        <v>25</v>
      </c>
      <c r="K968" s="3">
        <v>25</v>
      </c>
      <c r="L968" s="3">
        <f t="shared" si="31"/>
        <v>1.246781519413229</v>
      </c>
    </row>
    <row r="969" spans="1:12" x14ac:dyDescent="0.3">
      <c r="A969" s="3">
        <v>968</v>
      </c>
      <c r="B969" s="4">
        <v>45247</v>
      </c>
      <c r="C969" s="9" t="str">
        <f t="shared" si="30"/>
        <v>November</v>
      </c>
      <c r="D969" s="3" t="s">
        <v>981</v>
      </c>
      <c r="E969" s="3" t="s">
        <v>13</v>
      </c>
      <c r="F969" s="3">
        <v>48</v>
      </c>
      <c r="G969" s="8" t="str" cm="1">
        <f t="array" ref="G969">_xlfn.IFS(
    F969 &lt; 25, "Young",
    F969 &lt;= 40, "Mid-Age",
    F969 &gt; 40, "Old-Age"
)</f>
        <v>Old-Age</v>
      </c>
      <c r="H969" s="3" t="s">
        <v>14</v>
      </c>
      <c r="I969" s="3">
        <v>3</v>
      </c>
      <c r="J969" s="3">
        <v>300</v>
      </c>
      <c r="K969" s="3">
        <v>900</v>
      </c>
      <c r="L969" s="3">
        <f t="shared" si="31"/>
        <v>1.2015597964915572</v>
      </c>
    </row>
    <row r="970" spans="1:12" x14ac:dyDescent="0.3">
      <c r="A970" s="3">
        <v>969</v>
      </c>
      <c r="B970" s="4">
        <v>45035</v>
      </c>
      <c r="C970" s="9" t="str">
        <f t="shared" si="30"/>
        <v>April</v>
      </c>
      <c r="D970" s="3" t="s">
        <v>982</v>
      </c>
      <c r="E970" s="3" t="s">
        <v>13</v>
      </c>
      <c r="F970" s="3">
        <v>40</v>
      </c>
      <c r="G970" s="8" t="str" cm="1">
        <f t="array" ref="G970">_xlfn.IFS(
    F970 &lt; 25, "Young",
    F970 &lt;= 40, "Mid-Age",
    F970 &gt; 40, "Old-Age"
)</f>
        <v>Mid-Age</v>
      </c>
      <c r="H970" s="3" t="s">
        <v>14</v>
      </c>
      <c r="I970" s="3">
        <v>3</v>
      </c>
      <c r="J970" s="3">
        <v>300</v>
      </c>
      <c r="K970" s="3">
        <v>900</v>
      </c>
      <c r="L970" s="3">
        <f t="shared" si="31"/>
        <v>1.2927015241932862</v>
      </c>
    </row>
    <row r="971" spans="1:12" x14ac:dyDescent="0.3">
      <c r="A971" s="3">
        <v>970</v>
      </c>
      <c r="B971" s="4">
        <v>45062</v>
      </c>
      <c r="C971" s="9" t="str">
        <f t="shared" si="30"/>
        <v>May</v>
      </c>
      <c r="D971" s="3" t="s">
        <v>983</v>
      </c>
      <c r="E971" s="3" t="s">
        <v>10</v>
      </c>
      <c r="F971" s="3">
        <v>59</v>
      </c>
      <c r="G971" s="8" t="str" cm="1">
        <f t="array" ref="G971">_xlfn.IFS(
    F971 &lt; 25, "Young",
    F971 &lt;= 40, "Mid-Age",
    F971 &gt; 40, "Old-Age"
)</f>
        <v>Old-Age</v>
      </c>
      <c r="H971" s="3" t="s">
        <v>16</v>
      </c>
      <c r="I971" s="3">
        <v>4</v>
      </c>
      <c r="J971" s="3">
        <v>500</v>
      </c>
      <c r="K971" s="3">
        <v>2000</v>
      </c>
      <c r="L971" s="3">
        <f t="shared" si="31"/>
        <v>1.3925106604790438</v>
      </c>
    </row>
    <row r="972" spans="1:12" x14ac:dyDescent="0.3">
      <c r="A972" s="3">
        <v>971</v>
      </c>
      <c r="B972" s="4">
        <v>45265</v>
      </c>
      <c r="C972" s="9" t="str">
        <f t="shared" si="30"/>
        <v>December</v>
      </c>
      <c r="D972" s="3" t="s">
        <v>984</v>
      </c>
      <c r="E972" s="3" t="s">
        <v>13</v>
      </c>
      <c r="F972" s="3">
        <v>27</v>
      </c>
      <c r="G972" s="8" t="str" cm="1">
        <f t="array" ref="G972">_xlfn.IFS(
    F972 &lt; 25, "Young",
    F972 &lt;= 40, "Mid-Age",
    F972 &gt; 40, "Old-Age"
)</f>
        <v>Mid-Age</v>
      </c>
      <c r="H972" s="3" t="s">
        <v>16</v>
      </c>
      <c r="I972" s="3">
        <v>4</v>
      </c>
      <c r="J972" s="3">
        <v>50</v>
      </c>
      <c r="K972" s="3">
        <v>200</v>
      </c>
      <c r="L972" s="3">
        <f t="shared" si="31"/>
        <v>1.5893077704631093</v>
      </c>
    </row>
    <row r="973" spans="1:12" x14ac:dyDescent="0.3">
      <c r="A973" s="3">
        <v>972</v>
      </c>
      <c r="B973" s="4">
        <v>44968</v>
      </c>
      <c r="C973" s="9" t="str">
        <f t="shared" si="30"/>
        <v>February</v>
      </c>
      <c r="D973" s="3" t="s">
        <v>985</v>
      </c>
      <c r="E973" s="3" t="s">
        <v>10</v>
      </c>
      <c r="F973" s="3">
        <v>49</v>
      </c>
      <c r="G973" s="8" t="str" cm="1">
        <f t="array" ref="G973">_xlfn.IFS(
    F973 &lt; 25, "Young",
    F973 &lt;= 40, "Mid-Age",
    F973 &gt; 40, "Old-Age"
)</f>
        <v>Old-Age</v>
      </c>
      <c r="H973" s="3" t="s">
        <v>11</v>
      </c>
      <c r="I973" s="3">
        <v>4</v>
      </c>
      <c r="J973" s="3">
        <v>25</v>
      </c>
      <c r="K973" s="3">
        <v>100</v>
      </c>
      <c r="L973" s="3">
        <f t="shared" si="31"/>
        <v>1.5369195485853742</v>
      </c>
    </row>
    <row r="974" spans="1:12" x14ac:dyDescent="0.3">
      <c r="A974" s="3">
        <v>973</v>
      </c>
      <c r="B974" s="4">
        <v>45007</v>
      </c>
      <c r="C974" s="9" t="str">
        <f t="shared" si="30"/>
        <v>March</v>
      </c>
      <c r="D974" s="3" t="s">
        <v>986</v>
      </c>
      <c r="E974" s="3" t="s">
        <v>10</v>
      </c>
      <c r="F974" s="3">
        <v>60</v>
      </c>
      <c r="G974" s="8" t="str" cm="1">
        <f t="array" ref="G974">_xlfn.IFS(
    F974 &lt; 25, "Young",
    F974 &lt;= 40, "Mid-Age",
    F974 &gt; 40, "Old-Age"
)</f>
        <v>Old-Age</v>
      </c>
      <c r="H974" s="3" t="s">
        <v>14</v>
      </c>
      <c r="I974" s="3">
        <v>1</v>
      </c>
      <c r="J974" s="3">
        <v>50</v>
      </c>
      <c r="K974" s="3">
        <v>50</v>
      </c>
      <c r="L974" s="3">
        <f t="shared" si="31"/>
        <v>1.4834239655626733</v>
      </c>
    </row>
    <row r="975" spans="1:12" x14ac:dyDescent="0.3">
      <c r="A975" s="3">
        <v>974</v>
      </c>
      <c r="B975" s="4">
        <v>45049</v>
      </c>
      <c r="C975" s="9" t="str">
        <f t="shared" si="30"/>
        <v>May</v>
      </c>
      <c r="D975" s="3" t="s">
        <v>987</v>
      </c>
      <c r="E975" s="3" t="s">
        <v>10</v>
      </c>
      <c r="F975" s="3">
        <v>47</v>
      </c>
      <c r="G975" s="8" t="str" cm="1">
        <f t="array" ref="G975">_xlfn.IFS(
    F975 &lt; 25, "Young",
    F975 &lt;= 40, "Mid-Age",
    F975 &gt; 40, "Old-Age"
)</f>
        <v>Old-Age</v>
      </c>
      <c r="H975" s="3" t="s">
        <v>11</v>
      </c>
      <c r="I975" s="3">
        <v>1</v>
      </c>
      <c r="J975" s="3">
        <v>30</v>
      </c>
      <c r="K975" s="3">
        <v>30</v>
      </c>
      <c r="L975" s="3">
        <f t="shared" si="31"/>
        <v>1.4273624580211657</v>
      </c>
    </row>
    <row r="976" spans="1:12" x14ac:dyDescent="0.3">
      <c r="A976" s="3">
        <v>975</v>
      </c>
      <c r="B976" s="4">
        <v>45015</v>
      </c>
      <c r="C976" s="9" t="str">
        <f t="shared" si="30"/>
        <v>March</v>
      </c>
      <c r="D976" s="3" t="s">
        <v>988</v>
      </c>
      <c r="E976" s="3" t="s">
        <v>13</v>
      </c>
      <c r="F976" s="3">
        <v>56</v>
      </c>
      <c r="G976" s="8" t="str" cm="1">
        <f t="array" ref="G976">_xlfn.IFS(
    F976 &lt; 25, "Young",
    F976 &lt;= 40, "Mid-Age",
    F976 &gt; 40, "Old-Age"
)</f>
        <v>Old-Age</v>
      </c>
      <c r="H976" s="3" t="s">
        <v>14</v>
      </c>
      <c r="I976" s="3">
        <v>4</v>
      </c>
      <c r="J976" s="3">
        <v>50</v>
      </c>
      <c r="K976" s="3">
        <v>200</v>
      </c>
      <c r="L976" s="3">
        <f t="shared" si="31"/>
        <v>1.3692700647337737</v>
      </c>
    </row>
    <row r="977" spans="1:12" x14ac:dyDescent="0.3">
      <c r="A977" s="3">
        <v>976</v>
      </c>
      <c r="B977" s="4">
        <v>45209</v>
      </c>
      <c r="C977" s="9" t="str">
        <f t="shared" si="30"/>
        <v>October</v>
      </c>
      <c r="D977" s="3" t="s">
        <v>989</v>
      </c>
      <c r="E977" s="3" t="s">
        <v>13</v>
      </c>
      <c r="F977" s="3">
        <v>48</v>
      </c>
      <c r="G977" s="8" t="str" cm="1">
        <f t="array" ref="G977">_xlfn.IFS(
    F977 &lt; 25, "Young",
    F977 &lt;= 40, "Mid-Age",
    F977 &gt; 40, "Old-Age"
)</f>
        <v>Old-Age</v>
      </c>
      <c r="H977" s="3" t="s">
        <v>11</v>
      </c>
      <c r="I977" s="3">
        <v>2</v>
      </c>
      <c r="J977" s="3">
        <v>300</v>
      </c>
      <c r="K977" s="3">
        <v>600</v>
      </c>
      <c r="L977" s="3">
        <f t="shared" si="31"/>
        <v>1.3087746505786209</v>
      </c>
    </row>
    <row r="978" spans="1:12" x14ac:dyDescent="0.3">
      <c r="A978" s="3">
        <v>977</v>
      </c>
      <c r="B978" s="4">
        <v>44965</v>
      </c>
      <c r="C978" s="9" t="str">
        <f t="shared" si="30"/>
        <v>February</v>
      </c>
      <c r="D978" s="3" t="s">
        <v>990</v>
      </c>
      <c r="E978" s="3" t="s">
        <v>13</v>
      </c>
      <c r="F978" s="3">
        <v>35</v>
      </c>
      <c r="G978" s="8" t="str" cm="1">
        <f t="array" ref="G978">_xlfn.IFS(
    F978 &lt; 25, "Young",
    F978 &lt;= 40, "Mid-Age",
    F978 &gt; 40, "Old-Age"
)</f>
        <v>Mid-Age</v>
      </c>
      <c r="H978" s="3" t="s">
        <v>16</v>
      </c>
      <c r="I978" s="3">
        <v>3</v>
      </c>
      <c r="J978" s="3">
        <v>25</v>
      </c>
      <c r="K978" s="3">
        <v>75</v>
      </c>
      <c r="L978" s="3">
        <f t="shared" si="31"/>
        <v>1.4401919708852748</v>
      </c>
    </row>
    <row r="979" spans="1:12" x14ac:dyDescent="0.3">
      <c r="A979" s="3">
        <v>978</v>
      </c>
      <c r="B979" s="4">
        <v>45007</v>
      </c>
      <c r="C979" s="9" t="str">
        <f t="shared" si="30"/>
        <v>March</v>
      </c>
      <c r="D979" s="3" t="s">
        <v>991</v>
      </c>
      <c r="E979" s="3" t="s">
        <v>13</v>
      </c>
      <c r="F979" s="3">
        <v>53</v>
      </c>
      <c r="G979" s="8" t="str" cm="1">
        <f t="array" ref="G979">_xlfn.IFS(
    F979 &lt; 25, "Young",
    F979 &lt;= 40, "Mid-Age",
    F979 &gt; 40, "Old-Age"
)</f>
        <v>Old-Age</v>
      </c>
      <c r="H979" s="3" t="s">
        <v>14</v>
      </c>
      <c r="I979" s="3">
        <v>3</v>
      </c>
      <c r="J979" s="3">
        <v>50</v>
      </c>
      <c r="K979" s="3">
        <v>150</v>
      </c>
      <c r="L979" s="3">
        <f t="shared" si="31"/>
        <v>1.3750249148710494</v>
      </c>
    </row>
    <row r="980" spans="1:12" x14ac:dyDescent="0.3">
      <c r="A980" s="3">
        <v>979</v>
      </c>
      <c r="B980" s="4">
        <v>44928</v>
      </c>
      <c r="C980" s="9" t="str">
        <f t="shared" si="30"/>
        <v>January</v>
      </c>
      <c r="D980" s="3" t="s">
        <v>992</v>
      </c>
      <c r="E980" s="3" t="s">
        <v>13</v>
      </c>
      <c r="F980" s="3">
        <v>19</v>
      </c>
      <c r="G980" s="8" t="str" cm="1">
        <f t="array" ref="G980">_xlfn.IFS(
    F980 &lt; 25, "Young",
    F980 &lt;= 40, "Mid-Age",
    F980 &gt; 40, "Old-Age"
)</f>
        <v>Young</v>
      </c>
      <c r="H980" s="3" t="s">
        <v>11</v>
      </c>
      <c r="I980" s="3">
        <v>1</v>
      </c>
      <c r="J980" s="3">
        <v>25</v>
      </c>
      <c r="K980" s="3">
        <v>25</v>
      </c>
      <c r="L980" s="3">
        <f t="shared" si="31"/>
        <v>1.306583710987816</v>
      </c>
    </row>
    <row r="981" spans="1:12" x14ac:dyDescent="0.3">
      <c r="A981" s="3">
        <v>980</v>
      </c>
      <c r="B981" s="4">
        <v>45136</v>
      </c>
      <c r="C981" s="9" t="str">
        <f t="shared" si="30"/>
        <v>July</v>
      </c>
      <c r="D981" s="3" t="s">
        <v>993</v>
      </c>
      <c r="E981" s="3" t="s">
        <v>13</v>
      </c>
      <c r="F981" s="3">
        <v>31</v>
      </c>
      <c r="G981" s="8" t="str" cm="1">
        <f t="array" ref="G981">_xlfn.IFS(
    F981 &lt; 25, "Young",
    F981 &lt;= 40, "Mid-Age",
    F981 &gt; 40, "Old-Age"
)</f>
        <v>Mid-Age</v>
      </c>
      <c r="H981" s="3" t="s">
        <v>16</v>
      </c>
      <c r="I981" s="3">
        <v>3</v>
      </c>
      <c r="J981" s="3">
        <v>25</v>
      </c>
      <c r="K981" s="3">
        <v>75</v>
      </c>
      <c r="L981" s="3">
        <f t="shared" si="31"/>
        <v>1.235032496901642</v>
      </c>
    </row>
    <row r="982" spans="1:12" x14ac:dyDescent="0.3">
      <c r="A982" s="3">
        <v>981</v>
      </c>
      <c r="B982" s="4">
        <v>45157</v>
      </c>
      <c r="C982" s="9" t="str">
        <f t="shared" si="30"/>
        <v>August</v>
      </c>
      <c r="D982" s="3" t="s">
        <v>994</v>
      </c>
      <c r="E982" s="3" t="s">
        <v>13</v>
      </c>
      <c r="F982" s="3">
        <v>30</v>
      </c>
      <c r="G982" s="8" t="str" cm="1">
        <f t="array" ref="G982">_xlfn.IFS(
    F982 &lt; 25, "Young",
    F982 &lt;= 40, "Mid-Age",
    F982 &gt; 40, "Old-Age"
)</f>
        <v>Mid-Age</v>
      </c>
      <c r="H982" s="3" t="s">
        <v>16</v>
      </c>
      <c r="I982" s="3">
        <v>2</v>
      </c>
      <c r="J982" s="3">
        <v>30</v>
      </c>
      <c r="K982" s="3">
        <v>60</v>
      </c>
      <c r="L982" s="3">
        <f t="shared" si="31"/>
        <v>1.1597343255029204</v>
      </c>
    </row>
    <row r="983" spans="1:12" x14ac:dyDescent="0.3">
      <c r="A983" s="3">
        <v>982</v>
      </c>
      <c r="B983" s="4">
        <v>45279</v>
      </c>
      <c r="C983" s="9" t="str">
        <f t="shared" si="30"/>
        <v>December</v>
      </c>
      <c r="D983" s="3" t="s">
        <v>995</v>
      </c>
      <c r="E983" s="3" t="s">
        <v>13</v>
      </c>
      <c r="F983" s="3">
        <v>46</v>
      </c>
      <c r="G983" s="8" t="str" cm="1">
        <f t="array" ref="G983">_xlfn.IFS(
    F983 &lt; 25, "Young",
    F983 &lt;= 40, "Mid-Age",
    F983 &gt; 40, "Old-Age"
)</f>
        <v>Old-Age</v>
      </c>
      <c r="H983" s="3" t="s">
        <v>11</v>
      </c>
      <c r="I983" s="3">
        <v>3</v>
      </c>
      <c r="J983" s="3">
        <v>30</v>
      </c>
      <c r="K983" s="3">
        <v>90</v>
      </c>
      <c r="L983" s="3">
        <f t="shared" si="31"/>
        <v>1.0794042018428505</v>
      </c>
    </row>
    <row r="984" spans="1:12" x14ac:dyDescent="0.3">
      <c r="A984" s="3">
        <v>983</v>
      </c>
      <c r="B984" s="4">
        <v>45231</v>
      </c>
      <c r="C984" s="9" t="str">
        <f t="shared" si="30"/>
        <v>November</v>
      </c>
      <c r="D984" s="3" t="s">
        <v>996</v>
      </c>
      <c r="E984" s="3" t="s">
        <v>13</v>
      </c>
      <c r="F984" s="3">
        <v>29</v>
      </c>
      <c r="G984" s="8" t="str" cm="1">
        <f t="array" ref="G984">_xlfn.IFS(
    F984 &lt; 25, "Young",
    F984 &lt;= 40, "Mid-Age",
    F984 &gt; 40, "Old-Age"
)</f>
        <v>Mid-Age</v>
      </c>
      <c r="H984" s="3" t="s">
        <v>14</v>
      </c>
      <c r="I984" s="3">
        <v>1</v>
      </c>
      <c r="J984" s="3">
        <v>300</v>
      </c>
      <c r="K984" s="3">
        <v>300</v>
      </c>
      <c r="L984" s="3">
        <f t="shared" si="31"/>
        <v>0.99391113051087365</v>
      </c>
    </row>
    <row r="985" spans="1:12" x14ac:dyDescent="0.3">
      <c r="A985" s="3">
        <v>984</v>
      </c>
      <c r="B985" s="4">
        <v>45167</v>
      </c>
      <c r="C985" s="9" t="str">
        <f t="shared" si="30"/>
        <v>August</v>
      </c>
      <c r="D985" s="3" t="s">
        <v>997</v>
      </c>
      <c r="E985" s="3" t="s">
        <v>10</v>
      </c>
      <c r="F985" s="3">
        <v>56</v>
      </c>
      <c r="G985" s="8" t="str" cm="1">
        <f t="array" ref="G985">_xlfn.IFS(
    F985 &lt; 25, "Young",
    F985 &lt;= 40, "Mid-Age",
    F985 &gt; 40, "Old-Age"
)</f>
        <v>Old-Age</v>
      </c>
      <c r="H985" s="3" t="s">
        <v>14</v>
      </c>
      <c r="I985" s="3">
        <v>1</v>
      </c>
      <c r="J985" s="3">
        <v>500</v>
      </c>
      <c r="K985" s="3">
        <v>500</v>
      </c>
      <c r="L985" s="3">
        <f t="shared" si="31"/>
        <v>1.121994247882919</v>
      </c>
    </row>
    <row r="986" spans="1:12" x14ac:dyDescent="0.3">
      <c r="A986" s="3">
        <v>985</v>
      </c>
      <c r="B986" s="4">
        <v>45076</v>
      </c>
      <c r="C986" s="9" t="str">
        <f t="shared" si="30"/>
        <v>May</v>
      </c>
      <c r="D986" s="3" t="s">
        <v>998</v>
      </c>
      <c r="E986" s="3" t="s">
        <v>13</v>
      </c>
      <c r="F986" s="3">
        <v>19</v>
      </c>
      <c r="G986" s="8" t="str" cm="1">
        <f t="array" ref="G986">_xlfn.IFS(
    F986 &lt; 25, "Young",
    F986 &lt;= 40, "Mid-Age",
    F986 &gt; 40, "Old-Age"
)</f>
        <v>Young</v>
      </c>
      <c r="H986" s="3" t="s">
        <v>16</v>
      </c>
      <c r="I986" s="3">
        <v>2</v>
      </c>
      <c r="J986" s="3">
        <v>25</v>
      </c>
      <c r="K986" s="3">
        <v>50</v>
      </c>
      <c r="L986" s="3">
        <f t="shared" si="31"/>
        <v>1.4377361727202809</v>
      </c>
    </row>
    <row r="987" spans="1:12" x14ac:dyDescent="0.3">
      <c r="A987" s="3">
        <v>986</v>
      </c>
      <c r="B987" s="4">
        <v>44943</v>
      </c>
      <c r="C987" s="9" t="str">
        <f t="shared" si="30"/>
        <v>January</v>
      </c>
      <c r="D987" s="3" t="s">
        <v>999</v>
      </c>
      <c r="E987" s="3" t="s">
        <v>13</v>
      </c>
      <c r="F987" s="3">
        <v>49</v>
      </c>
      <c r="G987" s="8" t="str" cm="1">
        <f t="array" ref="G987">_xlfn.IFS(
    F987 &lt; 25, "Young",
    F987 &lt;= 40, "Mid-Age",
    F987 &gt; 40, "Old-Age"
)</f>
        <v>Old-Age</v>
      </c>
      <c r="H987" s="3" t="s">
        <v>14</v>
      </c>
      <c r="I987" s="3">
        <v>2</v>
      </c>
      <c r="J987" s="3">
        <v>500</v>
      </c>
      <c r="K987" s="3">
        <v>1000</v>
      </c>
      <c r="L987" s="3">
        <f t="shared" si="31"/>
        <v>1.3388553803689074</v>
      </c>
    </row>
    <row r="988" spans="1:12" x14ac:dyDescent="0.3">
      <c r="A988" s="3">
        <v>987</v>
      </c>
      <c r="B988" s="4">
        <v>45045</v>
      </c>
      <c r="C988" s="9" t="str">
        <f t="shared" si="30"/>
        <v>April</v>
      </c>
      <c r="D988" s="3" t="s">
        <v>1000</v>
      </c>
      <c r="E988" s="3" t="s">
        <v>13</v>
      </c>
      <c r="F988" s="3">
        <v>30</v>
      </c>
      <c r="G988" s="8" t="str" cm="1">
        <f t="array" ref="G988">_xlfn.IFS(
    F988 &lt; 25, "Young",
    F988 &lt;= 40, "Mid-Age",
    F988 &gt; 40, "Old-Age"
)</f>
        <v>Mid-Age</v>
      </c>
      <c r="H988" s="3" t="s">
        <v>14</v>
      </c>
      <c r="I988" s="3">
        <v>3</v>
      </c>
      <c r="J988" s="3">
        <v>300</v>
      </c>
      <c r="K988" s="3">
        <v>900</v>
      </c>
      <c r="L988" s="3">
        <f t="shared" si="31"/>
        <v>1.7845540831228244</v>
      </c>
    </row>
    <row r="989" spans="1:12" x14ac:dyDescent="0.3">
      <c r="A989" s="3">
        <v>988</v>
      </c>
      <c r="B989" s="4">
        <v>45074</v>
      </c>
      <c r="C989" s="9" t="str">
        <f t="shared" si="30"/>
        <v>May</v>
      </c>
      <c r="D989" s="3" t="s">
        <v>1001</v>
      </c>
      <c r="E989" s="3" t="s">
        <v>13</v>
      </c>
      <c r="F989" s="3">
        <v>63</v>
      </c>
      <c r="G989" s="8" t="str" cm="1">
        <f t="array" ref="G989">_xlfn.IFS(
    F989 &lt; 25, "Young",
    F989 &lt;= 40, "Mid-Age",
    F989 &gt; 40, "Old-Age"
)</f>
        <v>Old-Age</v>
      </c>
      <c r="H989" s="3" t="s">
        <v>14</v>
      </c>
      <c r="I989" s="3">
        <v>3</v>
      </c>
      <c r="J989" s="3">
        <v>25</v>
      </c>
      <c r="K989" s="3">
        <v>75</v>
      </c>
      <c r="L989" s="3">
        <f t="shared" si="31"/>
        <v>2.1621960733990613</v>
      </c>
    </row>
    <row r="990" spans="1:12" x14ac:dyDescent="0.3">
      <c r="A990" s="3">
        <v>989</v>
      </c>
      <c r="B990" s="4">
        <v>45288</v>
      </c>
      <c r="C990" s="9" t="str">
        <f t="shared" si="30"/>
        <v>December</v>
      </c>
      <c r="D990" s="3" t="s">
        <v>1002</v>
      </c>
      <c r="E990" s="3" t="s">
        <v>13</v>
      </c>
      <c r="F990" s="3">
        <v>44</v>
      </c>
      <c r="G990" s="8" t="str" cm="1">
        <f t="array" ref="G990">_xlfn.IFS(
    F990 &lt; 25, "Young",
    F990 &lt;= 40, "Mid-Age",
    F990 &gt; 40, "Old-Age"
)</f>
        <v>Old-Age</v>
      </c>
      <c r="H990" s="3" t="s">
        <v>16</v>
      </c>
      <c r="I990" s="3">
        <v>1</v>
      </c>
      <c r="J990" s="3">
        <v>25</v>
      </c>
      <c r="K990" s="3">
        <v>25</v>
      </c>
      <c r="L990" s="3">
        <f t="shared" si="31"/>
        <v>2.04036155932324</v>
      </c>
    </row>
    <row r="991" spans="1:12" x14ac:dyDescent="0.3">
      <c r="A991" s="3">
        <v>990</v>
      </c>
      <c r="B991" s="4">
        <v>45071</v>
      </c>
      <c r="C991" s="9" t="str">
        <f t="shared" si="30"/>
        <v>May</v>
      </c>
      <c r="D991" s="3" t="s">
        <v>1003</v>
      </c>
      <c r="E991" s="3" t="s">
        <v>13</v>
      </c>
      <c r="F991" s="3">
        <v>58</v>
      </c>
      <c r="G991" s="8" t="str" cm="1">
        <f t="array" ref="G991">_xlfn.IFS(
    F991 &lt; 25, "Young",
    F991 &lt;= 40, "Mid-Age",
    F991 &gt; 40, "Old-Age"
)</f>
        <v>Old-Age</v>
      </c>
      <c r="H991" s="3" t="s">
        <v>11</v>
      </c>
      <c r="I991" s="3">
        <v>2</v>
      </c>
      <c r="J991" s="3">
        <v>500</v>
      </c>
      <c r="K991" s="3">
        <v>1000</v>
      </c>
      <c r="L991" s="3">
        <f t="shared" si="31"/>
        <v>1.9098044036971553</v>
      </c>
    </row>
    <row r="992" spans="1:12" x14ac:dyDescent="0.3">
      <c r="A992" s="3">
        <v>991</v>
      </c>
      <c r="B992" s="4">
        <v>45286</v>
      </c>
      <c r="C992" s="9" t="str">
        <f t="shared" si="30"/>
        <v>December</v>
      </c>
      <c r="D992" s="3" t="s">
        <v>1004</v>
      </c>
      <c r="E992" s="3" t="s">
        <v>13</v>
      </c>
      <c r="F992" s="3">
        <v>34</v>
      </c>
      <c r="G992" s="8" t="str" cm="1">
        <f t="array" ref="G992">_xlfn.IFS(
    F992 &lt; 25, "Young",
    F992 &lt;= 40, "Mid-Age",
    F992 &gt; 40, "Old-Age"
)</f>
        <v>Mid-Age</v>
      </c>
      <c r="H992" s="3" t="s">
        <v>14</v>
      </c>
      <c r="I992" s="3">
        <v>2</v>
      </c>
      <c r="J992" s="3">
        <v>50</v>
      </c>
      <c r="K992" s="3">
        <v>100</v>
      </c>
      <c r="L992" s="3">
        <f t="shared" si="31"/>
        <v>3.1316494753448945</v>
      </c>
    </row>
    <row r="993" spans="1:12" x14ac:dyDescent="0.3">
      <c r="A993" s="3">
        <v>992</v>
      </c>
      <c r="B993" s="4">
        <v>45159</v>
      </c>
      <c r="C993" s="9" t="str">
        <f t="shared" si="30"/>
        <v>August</v>
      </c>
      <c r="D993" s="3" t="s">
        <v>1005</v>
      </c>
      <c r="E993" s="3" t="s">
        <v>13</v>
      </c>
      <c r="F993" s="3">
        <v>57</v>
      </c>
      <c r="G993" s="8" t="str" cm="1">
        <f t="array" ref="G993">_xlfn.IFS(
    F993 &lt; 25, "Young",
    F993 &lt;= 40, "Mid-Age",
    F993 &gt; 40, "Old-Age"
)</f>
        <v>Old-Age</v>
      </c>
      <c r="H993" s="3" t="s">
        <v>16</v>
      </c>
      <c r="I993" s="3">
        <v>2</v>
      </c>
      <c r="J993" s="3">
        <v>30</v>
      </c>
      <c r="K993" s="3">
        <v>60</v>
      </c>
      <c r="L993" s="3">
        <f t="shared" si="31"/>
        <v>2.9746135749429161</v>
      </c>
    </row>
    <row r="994" spans="1:12" x14ac:dyDescent="0.3">
      <c r="A994" s="3">
        <v>993</v>
      </c>
      <c r="B994" s="4">
        <v>44963</v>
      </c>
      <c r="C994" s="9" t="str">
        <f t="shared" si="30"/>
        <v>February</v>
      </c>
      <c r="D994" s="3" t="s">
        <v>1006</v>
      </c>
      <c r="E994" s="3" t="s">
        <v>13</v>
      </c>
      <c r="F994" s="3">
        <v>48</v>
      </c>
      <c r="G994" s="8" t="str" cm="1">
        <f t="array" ref="G994">_xlfn.IFS(
    F994 &lt; 25, "Young",
    F994 &lt;= 40, "Mid-Age",
    F994 &gt; 40, "Old-Age"
)</f>
        <v>Old-Age</v>
      </c>
      <c r="H994" s="3" t="s">
        <v>16</v>
      </c>
      <c r="I994" s="3">
        <v>3</v>
      </c>
      <c r="J994" s="3">
        <v>50</v>
      </c>
      <c r="K994" s="3">
        <v>150</v>
      </c>
      <c r="L994" s="3">
        <f t="shared" si="31"/>
        <v>2.804637900806612</v>
      </c>
    </row>
    <row r="995" spans="1:12" x14ac:dyDescent="0.3">
      <c r="A995" s="3">
        <v>994</v>
      </c>
      <c r="B995" s="4">
        <v>45278</v>
      </c>
      <c r="C995" s="9" t="str">
        <f t="shared" si="30"/>
        <v>December</v>
      </c>
      <c r="D995" s="3" t="s">
        <v>1007</v>
      </c>
      <c r="E995" s="3" t="s">
        <v>13</v>
      </c>
      <c r="F995" s="3">
        <v>51</v>
      </c>
      <c r="G995" s="8" t="str" cm="1">
        <f t="array" ref="G995">_xlfn.IFS(
    F995 &lt; 25, "Young",
    F995 &lt;= 40, "Mid-Age",
    F995 &gt; 40, "Old-Age"
)</f>
        <v>Old-Age</v>
      </c>
      <c r="H995" s="3" t="s">
        <v>11</v>
      </c>
      <c r="I995" s="3">
        <v>2</v>
      </c>
      <c r="J995" s="3">
        <v>500</v>
      </c>
      <c r="K995" s="3">
        <v>1000</v>
      </c>
      <c r="L995" s="3">
        <f t="shared" si="31"/>
        <v>2.6273196627396564</v>
      </c>
    </row>
    <row r="996" spans="1:12" x14ac:dyDescent="0.3">
      <c r="A996" s="3">
        <v>995</v>
      </c>
      <c r="B996" s="4">
        <v>45046</v>
      </c>
      <c r="C996" s="9" t="str">
        <f t="shared" si="30"/>
        <v>April</v>
      </c>
      <c r="D996" s="3" t="s">
        <v>1008</v>
      </c>
      <c r="E996" s="3" t="s">
        <v>13</v>
      </c>
      <c r="F996" s="3">
        <v>41</v>
      </c>
      <c r="G996" s="8" t="str" cm="1">
        <f t="array" ref="G996">_xlfn.IFS(
    F996 &lt; 25, "Young",
    F996 &lt;= 40, "Mid-Age",
    F996 &gt; 40, "Old-Age"
)</f>
        <v>Old-Age</v>
      </c>
      <c r="H996" s="3" t="s">
        <v>14</v>
      </c>
      <c r="I996" s="3">
        <v>1</v>
      </c>
      <c r="J996" s="3">
        <v>30</v>
      </c>
      <c r="K996" s="3">
        <v>30</v>
      </c>
      <c r="L996" s="3">
        <f t="shared" si="31"/>
        <v>0.82815936739297491</v>
      </c>
    </row>
    <row r="997" spans="1:12" x14ac:dyDescent="0.3">
      <c r="A997" s="3">
        <v>996</v>
      </c>
      <c r="B997" s="4">
        <v>45062</v>
      </c>
      <c r="C997" s="9" t="str">
        <f t="shared" si="30"/>
        <v>May</v>
      </c>
      <c r="D997" s="3" t="s">
        <v>1009</v>
      </c>
      <c r="E997" s="3" t="s">
        <v>10</v>
      </c>
      <c r="F997" s="3">
        <v>62</v>
      </c>
      <c r="G997" s="8" t="str" cm="1">
        <f t="array" ref="G997">_xlfn.IFS(
    F997 &lt; 25, "Young",
    F997 &lt;= 40, "Mid-Age",
    F997 &gt; 40, "Old-Age"
)</f>
        <v>Old-Age</v>
      </c>
      <c r="H997" s="3" t="s">
        <v>14</v>
      </c>
      <c r="I997" s="3">
        <v>1</v>
      </c>
      <c r="J997" s="3">
        <v>50</v>
      </c>
      <c r="K997" s="3">
        <v>50</v>
      </c>
      <c r="L997" s="3">
        <f t="shared" si="31"/>
        <v>0.4725001439954174</v>
      </c>
    </row>
    <row r="998" spans="1:12" x14ac:dyDescent="0.3">
      <c r="A998" s="3">
        <v>997</v>
      </c>
      <c r="B998" s="4">
        <v>45247</v>
      </c>
      <c r="C998" s="9" t="str">
        <f t="shared" si="30"/>
        <v>November</v>
      </c>
      <c r="D998" s="3" t="s">
        <v>1010</v>
      </c>
      <c r="E998" s="3" t="s">
        <v>10</v>
      </c>
      <c r="F998" s="3">
        <v>52</v>
      </c>
      <c r="G998" s="8" t="str" cm="1">
        <f t="array" ref="G998">_xlfn.IFS(
    F998 &lt; 25, "Young",
    F998 &lt;= 40, "Mid-Age",
    F998 &gt; 40, "Old-Age"
)</f>
        <v>Old-Age</v>
      </c>
      <c r="H998" s="3" t="s">
        <v>11</v>
      </c>
      <c r="I998" s="3">
        <v>3</v>
      </c>
      <c r="J998" s="3">
        <v>30</v>
      </c>
      <c r="K998" s="3">
        <v>90</v>
      </c>
      <c r="L998" s="3">
        <f t="shared" si="31"/>
        <v>1.7198680301759639</v>
      </c>
    </row>
    <row r="999" spans="1:12" x14ac:dyDescent="0.3">
      <c r="A999" s="3">
        <v>998</v>
      </c>
      <c r="B999" s="4">
        <v>45228</v>
      </c>
      <c r="C999" s="9" t="str">
        <f t="shared" si="30"/>
        <v>October</v>
      </c>
      <c r="D999" s="3" t="s">
        <v>1011</v>
      </c>
      <c r="E999" s="3" t="s">
        <v>13</v>
      </c>
      <c r="F999" s="3">
        <v>23</v>
      </c>
      <c r="G999" s="8" t="str" cm="1">
        <f t="array" ref="G999">_xlfn.IFS(
    F999 &lt; 25, "Young",
    F999 &lt;= 40, "Mid-Age",
    F999 &gt; 40, "Old-Age"
)</f>
        <v>Young</v>
      </c>
      <c r="H999" s="3" t="s">
        <v>11</v>
      </c>
      <c r="I999" s="3">
        <v>4</v>
      </c>
      <c r="J999" s="3">
        <v>25</v>
      </c>
      <c r="K999" s="3">
        <v>100</v>
      </c>
      <c r="L999" s="3">
        <f t="shared" si="31"/>
        <v>1.4578629673213048</v>
      </c>
    </row>
    <row r="1000" spans="1:12" x14ac:dyDescent="0.3">
      <c r="A1000" s="3">
        <v>999</v>
      </c>
      <c r="B1000" s="4">
        <v>45265</v>
      </c>
      <c r="C1000" s="9" t="str">
        <f t="shared" si="30"/>
        <v>December</v>
      </c>
      <c r="D1000" s="3" t="s">
        <v>1012</v>
      </c>
      <c r="E1000" s="3" t="s">
        <v>13</v>
      </c>
      <c r="F1000" s="3">
        <v>36</v>
      </c>
      <c r="G1000" s="8" t="str" cm="1">
        <f t="array" ref="G1000">_xlfn.IFS(
    F1000 &lt; 25, "Young",
    F1000 &lt;= 40, "Mid-Age",
    F1000 &gt; 40, "Old-Age"
)</f>
        <v>Mid-Age</v>
      </c>
      <c r="H1000" s="3" t="s">
        <v>16</v>
      </c>
      <c r="I1000" s="3">
        <v>3</v>
      </c>
      <c r="J1000" s="3">
        <v>50</v>
      </c>
      <c r="K1000" s="3">
        <v>150</v>
      </c>
      <c r="L1000" s="3" t="e">
        <f t="shared" si="31"/>
        <v>#DIV/0!</v>
      </c>
    </row>
    <row r="1001" spans="1:12" x14ac:dyDescent="0.3">
      <c r="A1001" s="3">
        <v>1000</v>
      </c>
      <c r="B1001" s="4">
        <v>45028</v>
      </c>
      <c r="C1001" s="9" t="str">
        <f t="shared" si="30"/>
        <v>April</v>
      </c>
      <c r="D1001" s="3" t="s">
        <v>1013</v>
      </c>
      <c r="E1001" s="3" t="s">
        <v>10</v>
      </c>
      <c r="F1001" s="3">
        <v>47</v>
      </c>
      <c r="G1001" s="8" t="str" cm="1">
        <f t="array" ref="G1001">_xlfn.IFS(
    F1001 &lt; 25, "Young",
    F1001 &lt;= 40, "Mid-Age",
    F1001 &gt; 40, "Old-Age"
)</f>
        <v>Old-Age</v>
      </c>
      <c r="H1001" s="3" t="s">
        <v>16</v>
      </c>
      <c r="I1001" s="3">
        <v>4</v>
      </c>
      <c r="J1001" s="3">
        <v>30</v>
      </c>
      <c r="K1001" s="3">
        <v>120</v>
      </c>
      <c r="L1001" s="3" t="e">
        <f t="shared" si="31"/>
        <v>#DIV/0!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Sheet</vt:lpstr>
      <vt:lpstr>Sheet1</vt:lpstr>
      <vt:lpstr>retail_sales_dataset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Jayaselvam</dc:creator>
  <cp:lastModifiedBy>DEVI SRI</cp:lastModifiedBy>
  <dcterms:created xsi:type="dcterms:W3CDTF">2025-12-12T04:43:00Z</dcterms:created>
  <dcterms:modified xsi:type="dcterms:W3CDTF">2025-12-13T06:21:09Z</dcterms:modified>
</cp:coreProperties>
</file>